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sazykina/Downloads/data/"/>
    </mc:Choice>
  </mc:AlternateContent>
  <xr:revisionPtr revIDLastSave="0" documentId="13_ncr:1_{7D174DCB-569D-A440-96FF-8F0E13840531}" xr6:coauthVersionLast="47" xr6:coauthVersionMax="47" xr10:uidLastSave="{00000000-0000-0000-0000-000000000000}"/>
  <bookViews>
    <workbookView xWindow="1380" yWindow="1680" windowWidth="27440" windowHeight="15680" xr2:uid="{E448132A-2C0B-BB4B-80EF-CDDB13E0FB6D}"/>
  </bookViews>
  <sheets>
    <sheet name="hr_last" sheetId="2" r:id="rId1"/>
    <sheet name="salary_bands" sheetId="3" r:id="rId2"/>
    <sheet name="Анализ" sheetId="1" r:id="rId3"/>
    <sheet name="Бюджет" sheetId="4" r:id="rId4"/>
    <sheet name="График" sheetId="5" r:id="rId5"/>
  </sheets>
  <definedNames>
    <definedName name="_xlchart.v2.0" hidden="1">График!$A$2:$A$6</definedName>
    <definedName name="_xlchart.v2.1" hidden="1">График!$B$2:$B$6</definedName>
    <definedName name="ExternalData_1" localSheetId="0" hidden="1">hr_last!$A$1:$M$123</definedName>
    <definedName name="ExternalData_1" localSheetId="1" hidden="1">salary_bands!$A$1:$E$35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4" l="1"/>
  <c r="B9" i="4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2" i="1"/>
  <c r="T117" i="1" l="1"/>
  <c r="T109" i="1"/>
  <c r="R118" i="1"/>
  <c r="T101" i="1"/>
  <c r="T93" i="1"/>
  <c r="T85" i="1"/>
  <c r="T77" i="1"/>
  <c r="T69" i="1"/>
  <c r="T61" i="1"/>
  <c r="T53" i="1"/>
  <c r="T45" i="1"/>
  <c r="T37" i="1"/>
  <c r="T29" i="1"/>
  <c r="T21" i="1"/>
  <c r="T13" i="1"/>
  <c r="T5" i="1"/>
  <c r="R78" i="1"/>
  <c r="R46" i="1"/>
  <c r="R22" i="1"/>
  <c r="R14" i="1"/>
  <c r="R6" i="1"/>
  <c r="R38" i="1"/>
  <c r="R110" i="1"/>
  <c r="R86" i="1"/>
  <c r="R70" i="1"/>
  <c r="R30" i="1"/>
  <c r="Q2" i="1" a="1"/>
  <c r="Q2" i="1" s="1"/>
  <c r="Q116" i="1" a="1"/>
  <c r="Q116" i="1" s="1"/>
  <c r="Q84" i="1" a="1"/>
  <c r="Q84" i="1" s="1"/>
  <c r="Q76" i="1" a="1"/>
  <c r="Q76" i="1" s="1"/>
  <c r="Q60" i="1" a="1"/>
  <c r="Q60" i="1" s="1"/>
  <c r="Q44" i="1" a="1"/>
  <c r="Q44" i="1" s="1"/>
  <c r="Q28" i="1" a="1"/>
  <c r="Q28" i="1" s="1"/>
  <c r="Q20" i="1" a="1"/>
  <c r="Q20" i="1" s="1"/>
  <c r="Q12" i="1" a="1"/>
  <c r="Q12" i="1" s="1"/>
  <c r="Q4" i="1" a="1"/>
  <c r="Q4" i="1" s="1"/>
  <c r="R102" i="1"/>
  <c r="R62" i="1"/>
  <c r="R94" i="1"/>
  <c r="R54" i="1"/>
  <c r="T111" i="1"/>
  <c r="T103" i="1"/>
  <c r="T95" i="1"/>
  <c r="T87" i="1"/>
  <c r="T79" i="1"/>
  <c r="T71" i="1"/>
  <c r="T63" i="1"/>
  <c r="T55" i="1"/>
  <c r="T47" i="1"/>
  <c r="T39" i="1"/>
  <c r="T31" i="1"/>
  <c r="T23" i="1"/>
  <c r="T15" i="1"/>
  <c r="T7" i="1"/>
  <c r="T18" i="1"/>
  <c r="T10" i="1"/>
  <c r="T119" i="1"/>
  <c r="T122" i="1"/>
  <c r="T114" i="1"/>
  <c r="T106" i="1"/>
  <c r="T98" i="1"/>
  <c r="T90" i="1"/>
  <c r="T82" i="1"/>
  <c r="T74" i="1"/>
  <c r="T66" i="1"/>
  <c r="T58" i="1"/>
  <c r="T50" i="1"/>
  <c r="T42" i="1"/>
  <c r="T34" i="1"/>
  <c r="T26" i="1"/>
  <c r="T121" i="1"/>
  <c r="T113" i="1"/>
  <c r="T105" i="1"/>
  <c r="T97" i="1"/>
  <c r="T89" i="1"/>
  <c r="T81" i="1"/>
  <c r="T73" i="1"/>
  <c r="T65" i="1"/>
  <c r="T57" i="1"/>
  <c r="T49" i="1"/>
  <c r="T41" i="1"/>
  <c r="T33" i="1"/>
  <c r="T25" i="1"/>
  <c r="T17" i="1"/>
  <c r="T9" i="1"/>
  <c r="T120" i="1"/>
  <c r="T112" i="1"/>
  <c r="T104" i="1"/>
  <c r="T96" i="1"/>
  <c r="T88" i="1"/>
  <c r="T80" i="1"/>
  <c r="T72" i="1"/>
  <c r="T64" i="1"/>
  <c r="T56" i="1"/>
  <c r="T48" i="1"/>
  <c r="T40" i="1"/>
  <c r="T32" i="1"/>
  <c r="T24" i="1"/>
  <c r="T16" i="1"/>
  <c r="T8" i="1"/>
  <c r="T118" i="1"/>
  <c r="T110" i="1"/>
  <c r="T102" i="1"/>
  <c r="T94" i="1"/>
  <c r="T86" i="1"/>
  <c r="T78" i="1"/>
  <c r="T70" i="1"/>
  <c r="T62" i="1"/>
  <c r="T54" i="1"/>
  <c r="T46" i="1"/>
  <c r="T38" i="1"/>
  <c r="T30" i="1"/>
  <c r="T22" i="1"/>
  <c r="T14" i="1"/>
  <c r="T6" i="1"/>
  <c r="T2" i="1"/>
  <c r="T116" i="1"/>
  <c r="T108" i="1"/>
  <c r="T100" i="1"/>
  <c r="T92" i="1"/>
  <c r="T84" i="1"/>
  <c r="T76" i="1"/>
  <c r="T68" i="1"/>
  <c r="T60" i="1"/>
  <c r="T52" i="1"/>
  <c r="T44" i="1"/>
  <c r="T36" i="1"/>
  <c r="T28" i="1"/>
  <c r="T20" i="1"/>
  <c r="T12" i="1"/>
  <c r="T4" i="1"/>
  <c r="T123" i="1"/>
  <c r="T115" i="1"/>
  <c r="T107" i="1"/>
  <c r="T99" i="1"/>
  <c r="T91" i="1"/>
  <c r="T83" i="1"/>
  <c r="T75" i="1"/>
  <c r="T67" i="1"/>
  <c r="T59" i="1"/>
  <c r="T51" i="1"/>
  <c r="T43" i="1"/>
  <c r="T35" i="1"/>
  <c r="T27" i="1"/>
  <c r="T19" i="1"/>
  <c r="T11" i="1"/>
  <c r="T3" i="1"/>
  <c r="Q114" i="1" a="1"/>
  <c r="Q114" i="1" s="1"/>
  <c r="Q106" i="1" a="1"/>
  <c r="Q106" i="1" s="1"/>
  <c r="Q98" i="1" a="1"/>
  <c r="Q98" i="1" s="1"/>
  <c r="Q74" i="1" a="1"/>
  <c r="Q74" i="1" s="1"/>
  <c r="Q34" i="1" a="1"/>
  <c r="Q34" i="1" s="1"/>
  <c r="Q18" i="1" a="1"/>
  <c r="Q18" i="1" s="1"/>
  <c r="Q121" i="1" a="1"/>
  <c r="Q121" i="1" s="1"/>
  <c r="Q113" i="1" a="1"/>
  <c r="Q113" i="1" s="1"/>
  <c r="R105" i="1"/>
  <c r="Q97" i="1" a="1"/>
  <c r="Q97" i="1" s="1"/>
  <c r="Q89" i="1" a="1"/>
  <c r="Q89" i="1" s="1"/>
  <c r="Q81" i="1" a="1"/>
  <c r="Q81" i="1" s="1"/>
  <c r="R73" i="1"/>
  <c r="Q65" i="1" a="1"/>
  <c r="Q65" i="1" s="1"/>
  <c r="Q57" i="1" a="1"/>
  <c r="Q57" i="1" s="1"/>
  <c r="Q49" i="1" a="1"/>
  <c r="Q49" i="1" s="1"/>
  <c r="Q41" i="1" a="1"/>
  <c r="Q41" i="1" s="1"/>
  <c r="R33" i="1"/>
  <c r="Q25" i="1" a="1"/>
  <c r="Q25" i="1" s="1"/>
  <c r="R17" i="1"/>
  <c r="Q9" i="1" a="1"/>
  <c r="Q9" i="1" s="1"/>
  <c r="R112" i="1"/>
  <c r="R104" i="1"/>
  <c r="R72" i="1"/>
  <c r="R56" i="1"/>
  <c r="R32" i="1"/>
  <c r="R16" i="1"/>
  <c r="R111" i="1"/>
  <c r="R103" i="1"/>
  <c r="R79" i="1"/>
  <c r="R71" i="1"/>
  <c r="R55" i="1"/>
  <c r="R39" i="1"/>
  <c r="R31" i="1"/>
  <c r="R15" i="1"/>
  <c r="R114" i="1"/>
  <c r="Q82" i="1" a="1"/>
  <c r="Q82" i="1" s="1"/>
  <c r="R50" i="1"/>
  <c r="R18" i="1"/>
  <c r="Q120" i="1" a="1"/>
  <c r="Q120" i="1" s="1"/>
  <c r="Q88" i="1" a="1"/>
  <c r="Q88" i="1" s="1"/>
  <c r="Q73" i="1" a="1"/>
  <c r="Q73" i="1" s="1"/>
  <c r="Q63" i="1" a="1"/>
  <c r="Q63" i="1" s="1"/>
  <c r="Q112" i="1" a="1"/>
  <c r="Q112" i="1" s="1"/>
  <c r="Q104" i="1" a="1"/>
  <c r="Q104" i="1" s="1"/>
  <c r="Q56" i="1" a="1"/>
  <c r="Q56" i="1" s="1"/>
  <c r="Q32" i="1" a="1"/>
  <c r="Q32" i="1" s="1"/>
  <c r="Q16" i="1" a="1"/>
  <c r="Q16" i="1" s="1"/>
  <c r="Q94" i="1" a="1"/>
  <c r="Q94" i="1" s="1"/>
  <c r="Q86" i="1" a="1"/>
  <c r="Q86" i="1" s="1"/>
  <c r="Q62" i="1" a="1"/>
  <c r="Q62" i="1" s="1"/>
  <c r="Q46" i="1" a="1"/>
  <c r="Q46" i="1" s="1"/>
  <c r="Q122" i="1" a="1"/>
  <c r="Q122" i="1" s="1"/>
  <c r="Q90" i="1" a="1"/>
  <c r="Q90" i="1" s="1"/>
  <c r="Q58" i="1" a="1"/>
  <c r="Q58" i="1" s="1"/>
  <c r="Q26" i="1" a="1"/>
  <c r="Q26" i="1" s="1"/>
  <c r="Q96" i="1" a="1"/>
  <c r="Q96" i="1" s="1"/>
  <c r="Q80" i="1" a="1"/>
  <c r="Q80" i="1" s="1"/>
  <c r="Q64" i="1" a="1"/>
  <c r="Q64" i="1" s="1"/>
  <c r="Q48" i="1" a="1"/>
  <c r="Q48" i="1" s="1"/>
  <c r="Q40" i="1" a="1"/>
  <c r="Q40" i="1" s="1"/>
  <c r="Q24" i="1" a="1"/>
  <c r="Q24" i="1" s="1"/>
  <c r="Q8" i="1" a="1"/>
  <c r="Q8" i="1" s="1"/>
  <c r="Q33" i="1" a="1"/>
  <c r="Q33" i="1" s="1"/>
  <c r="Q23" i="1" a="1"/>
  <c r="Q23" i="1" s="1"/>
  <c r="Q103" i="1" a="1"/>
  <c r="Q103" i="1" s="1"/>
  <c r="Q79" i="1" a="1"/>
  <c r="Q79" i="1" s="1"/>
  <c r="Q71" i="1" a="1"/>
  <c r="Q71" i="1" s="1"/>
  <c r="Q39" i="1" a="1"/>
  <c r="Q39" i="1" s="1"/>
  <c r="R117" i="1"/>
  <c r="R109" i="1"/>
  <c r="Q101" i="1" a="1"/>
  <c r="Q101" i="1" s="1"/>
  <c r="R85" i="1"/>
  <c r="R77" i="1"/>
  <c r="R69" i="1"/>
  <c r="R61" i="1"/>
  <c r="R53" i="1"/>
  <c r="R45" i="1"/>
  <c r="R37" i="1"/>
  <c r="Q29" i="1" a="1"/>
  <c r="Q29" i="1" s="1"/>
  <c r="R21" i="1"/>
  <c r="Q13" i="1" a="1"/>
  <c r="Q13" i="1" s="1"/>
  <c r="R5" i="1"/>
  <c r="R98" i="1"/>
  <c r="R66" i="1"/>
  <c r="R34" i="1"/>
  <c r="Q95" i="1" a="1"/>
  <c r="Q95" i="1" s="1"/>
  <c r="Q47" i="1" a="1"/>
  <c r="Q47" i="1" s="1"/>
  <c r="Q7" i="1" a="1"/>
  <c r="Q7" i="1" s="1"/>
  <c r="R2" i="1"/>
  <c r="R116" i="1"/>
  <c r="R108" i="1"/>
  <c r="Q100" i="1" a="1"/>
  <c r="Q100" i="1" s="1"/>
  <c r="R92" i="1"/>
  <c r="R84" i="1"/>
  <c r="R76" i="1"/>
  <c r="R68" i="1"/>
  <c r="R60" i="1"/>
  <c r="R52" i="1"/>
  <c r="R44" i="1"/>
  <c r="R36" i="1"/>
  <c r="R28" i="1"/>
  <c r="R20" i="1"/>
  <c r="R12" i="1"/>
  <c r="R4" i="1"/>
  <c r="R106" i="1"/>
  <c r="R74" i="1"/>
  <c r="Q42" i="1" a="1"/>
  <c r="Q42" i="1" s="1"/>
  <c r="Q10" i="1" a="1"/>
  <c r="Q10" i="1" s="1"/>
  <c r="Q17" i="1" a="1"/>
  <c r="Q17" i="1" s="1"/>
  <c r="Q119" i="1" a="1"/>
  <c r="Q119" i="1" s="1"/>
  <c r="Q87" i="1" a="1"/>
  <c r="Q87" i="1" s="1"/>
  <c r="Q117" i="1" a="1"/>
  <c r="Q117" i="1" s="1"/>
  <c r="Q109" i="1" a="1"/>
  <c r="Q109" i="1" s="1"/>
  <c r="Q85" i="1" a="1"/>
  <c r="Q85" i="1" s="1"/>
  <c r="Q77" i="1" a="1"/>
  <c r="Q77" i="1" s="1"/>
  <c r="Q61" i="1" a="1"/>
  <c r="Q61" i="1" s="1"/>
  <c r="Q53" i="1" a="1"/>
  <c r="Q53" i="1" s="1"/>
  <c r="Q45" i="1" a="1"/>
  <c r="Q45" i="1" s="1"/>
  <c r="Q37" i="1" a="1"/>
  <c r="Q37" i="1" s="1"/>
  <c r="Q21" i="1" a="1"/>
  <c r="Q21" i="1" s="1"/>
  <c r="Q5" i="1" a="1"/>
  <c r="Q5" i="1" s="1"/>
  <c r="R123" i="1"/>
  <c r="R115" i="1"/>
  <c r="R107" i="1"/>
  <c r="R99" i="1"/>
  <c r="R91" i="1"/>
  <c r="R83" i="1"/>
  <c r="R75" i="1"/>
  <c r="R67" i="1"/>
  <c r="R59" i="1"/>
  <c r="R51" i="1"/>
  <c r="R43" i="1"/>
  <c r="R35" i="1"/>
  <c r="R27" i="1"/>
  <c r="R19" i="1"/>
  <c r="R11" i="1"/>
  <c r="R3" i="1"/>
  <c r="Q118" i="1" a="1"/>
  <c r="Q118" i="1" s="1"/>
  <c r="Q99" i="1" a="1"/>
  <c r="Q99" i="1" s="1"/>
  <c r="Q66" i="1" a="1"/>
  <c r="Q66" i="1" s="1"/>
  <c r="Q50" i="1" a="1"/>
  <c r="Q50" i="1" s="1"/>
  <c r="Q22" i="1" a="1"/>
  <c r="Q22" i="1" s="1"/>
  <c r="Q6" i="1" a="1"/>
  <c r="Q6" i="1" s="1"/>
  <c r="R122" i="1"/>
  <c r="R90" i="1"/>
  <c r="R82" i="1"/>
  <c r="R58" i="1"/>
  <c r="R42" i="1"/>
  <c r="R26" i="1"/>
  <c r="R10" i="1"/>
  <c r="Q111" i="1" a="1"/>
  <c r="Q111" i="1" s="1"/>
  <c r="Q105" i="1" a="1"/>
  <c r="Q105" i="1" s="1"/>
  <c r="Q78" i="1" a="1"/>
  <c r="Q78" i="1" s="1"/>
  <c r="Q72" i="1" a="1"/>
  <c r="Q72" i="1" s="1"/>
  <c r="Q55" i="1" a="1"/>
  <c r="Q55" i="1" s="1"/>
  <c r="Q38" i="1" a="1"/>
  <c r="Q38" i="1" s="1"/>
  <c r="Q27" i="1" a="1"/>
  <c r="Q27" i="1" s="1"/>
  <c r="Q11" i="1" a="1"/>
  <c r="Q11" i="1" s="1"/>
  <c r="R121" i="1"/>
  <c r="R113" i="1"/>
  <c r="R97" i="1"/>
  <c r="R89" i="1"/>
  <c r="R81" i="1"/>
  <c r="R65" i="1"/>
  <c r="R57" i="1"/>
  <c r="R49" i="1"/>
  <c r="R41" i="1"/>
  <c r="R25" i="1"/>
  <c r="R9" i="1"/>
  <c r="Q123" i="1" a="1"/>
  <c r="Q123" i="1" s="1"/>
  <c r="Q110" i="1" a="1"/>
  <c r="Q110" i="1" s="1"/>
  <c r="Q54" i="1" a="1"/>
  <c r="Q54" i="1" s="1"/>
  <c r="Q43" i="1" a="1"/>
  <c r="Q43" i="1" s="1"/>
  <c r="R120" i="1"/>
  <c r="R96" i="1"/>
  <c r="R88" i="1"/>
  <c r="R80" i="1"/>
  <c r="R64" i="1"/>
  <c r="R48" i="1"/>
  <c r="R40" i="1"/>
  <c r="R24" i="1"/>
  <c r="R8" i="1"/>
  <c r="Q83" i="1" a="1"/>
  <c r="Q83" i="1" s="1"/>
  <c r="Q70" i="1" a="1"/>
  <c r="Q70" i="1" s="1"/>
  <c r="Q59" i="1" a="1"/>
  <c r="Q59" i="1" s="1"/>
  <c r="Q31" i="1" a="1"/>
  <c r="Q31" i="1" s="1"/>
  <c r="Q15" i="1" a="1"/>
  <c r="Q15" i="1" s="1"/>
  <c r="R119" i="1"/>
  <c r="R95" i="1"/>
  <c r="R87" i="1"/>
  <c r="R63" i="1"/>
  <c r="R47" i="1"/>
  <c r="R23" i="1"/>
  <c r="R7" i="1"/>
  <c r="Q115" i="1" a="1"/>
  <c r="Q115" i="1" s="1"/>
  <c r="Q102" i="1" a="1"/>
  <c r="Q102" i="1" s="1"/>
  <c r="Q30" i="1" a="1"/>
  <c r="Q30" i="1" s="1"/>
  <c r="Q14" i="1" a="1"/>
  <c r="Q14" i="1" s="1"/>
  <c r="Q108" i="1" a="1"/>
  <c r="Q108" i="1" s="1"/>
  <c r="Q75" i="1" a="1"/>
  <c r="Q75" i="1" s="1"/>
  <c r="Q69" i="1" a="1"/>
  <c r="Q69" i="1" s="1"/>
  <c r="Q36" i="1" a="1"/>
  <c r="Q36" i="1" s="1"/>
  <c r="Q19" i="1" a="1"/>
  <c r="Q19" i="1" s="1"/>
  <c r="Q3" i="1" a="1"/>
  <c r="Q3" i="1" s="1"/>
  <c r="R101" i="1"/>
  <c r="R93" i="1"/>
  <c r="R29" i="1"/>
  <c r="R13" i="1"/>
  <c r="Q107" i="1" a="1"/>
  <c r="Q107" i="1" s="1"/>
  <c r="Q68" i="1" a="1"/>
  <c r="Q68" i="1" s="1"/>
  <c r="Q52" i="1" a="1"/>
  <c r="Q52" i="1" s="1"/>
  <c r="Q35" i="1" a="1"/>
  <c r="Q35" i="1" s="1"/>
  <c r="R100" i="1"/>
  <c r="Q67" i="1" a="1"/>
  <c r="Q67" i="1" s="1"/>
  <c r="Q51" i="1" a="1"/>
  <c r="Q51" i="1" s="1"/>
  <c r="U9" i="1" l="1"/>
  <c r="V9" i="1"/>
  <c r="U116" i="1"/>
  <c r="V116" i="1"/>
  <c r="U114" i="1"/>
  <c r="V114" i="1"/>
  <c r="U111" i="1"/>
  <c r="V111" i="1"/>
  <c r="U17" i="1"/>
  <c r="V17" i="1"/>
  <c r="U54" i="1"/>
  <c r="V54" i="1"/>
  <c r="U70" i="1"/>
  <c r="V70" i="1"/>
  <c r="U78" i="1"/>
  <c r="V78" i="1"/>
  <c r="U90" i="1"/>
  <c r="V90" i="1"/>
  <c r="U77" i="1"/>
  <c r="V77" i="1"/>
  <c r="U94" i="1"/>
  <c r="V94" i="1"/>
  <c r="U86" i="1"/>
  <c r="V86" i="1"/>
  <c r="U62" i="1"/>
  <c r="V62" i="1"/>
  <c r="U110" i="1"/>
  <c r="V110" i="1"/>
  <c r="U64" i="1"/>
  <c r="V64" i="1"/>
  <c r="U89" i="1"/>
  <c r="V89" i="1"/>
  <c r="U103" i="1"/>
  <c r="V103" i="1"/>
  <c r="U23" i="1"/>
  <c r="V23" i="1"/>
  <c r="U80" i="1"/>
  <c r="V80" i="1"/>
  <c r="U52" i="1"/>
  <c r="V52" i="1"/>
  <c r="U69" i="1"/>
  <c r="V69" i="1"/>
  <c r="U88" i="1"/>
  <c r="V88" i="1"/>
  <c r="U113" i="1"/>
  <c r="V113" i="1"/>
  <c r="U3" i="1"/>
  <c r="V3" i="1"/>
  <c r="U67" i="1"/>
  <c r="V67" i="1"/>
  <c r="U60" i="1"/>
  <c r="V60" i="1"/>
  <c r="U29" i="1"/>
  <c r="V29" i="1"/>
  <c r="U63" i="1"/>
  <c r="V63" i="1"/>
  <c r="U41" i="1"/>
  <c r="V41" i="1"/>
  <c r="U122" i="1"/>
  <c r="V122" i="1"/>
  <c r="U85" i="1"/>
  <c r="V85" i="1"/>
  <c r="U31" i="1"/>
  <c r="V31" i="1"/>
  <c r="U33" i="1"/>
  <c r="V33" i="1"/>
  <c r="U120" i="1"/>
  <c r="V120" i="1"/>
  <c r="U19" i="1"/>
  <c r="V19" i="1"/>
  <c r="U12" i="1"/>
  <c r="V12" i="1"/>
  <c r="U76" i="1"/>
  <c r="V76" i="1"/>
  <c r="U39" i="1"/>
  <c r="V39" i="1"/>
  <c r="U56" i="1"/>
  <c r="V56" i="1"/>
  <c r="U105" i="1"/>
  <c r="V105" i="1"/>
  <c r="U102" i="1"/>
  <c r="V102" i="1"/>
  <c r="U38" i="1"/>
  <c r="V38" i="1"/>
  <c r="U58" i="1"/>
  <c r="V58" i="1"/>
  <c r="U51" i="1"/>
  <c r="V51" i="1"/>
  <c r="U108" i="1"/>
  <c r="V108" i="1"/>
  <c r="U73" i="1"/>
  <c r="V73" i="1"/>
  <c r="U46" i="1"/>
  <c r="V46" i="1"/>
  <c r="U97" i="1"/>
  <c r="V97" i="1"/>
  <c r="U59" i="1"/>
  <c r="V59" i="1"/>
  <c r="U13" i="1"/>
  <c r="V13" i="1"/>
  <c r="U47" i="1"/>
  <c r="V47" i="1"/>
  <c r="U25" i="1"/>
  <c r="V25" i="1"/>
  <c r="U15" i="1"/>
  <c r="V15" i="1"/>
  <c r="U96" i="1"/>
  <c r="V96" i="1"/>
  <c r="U121" i="1"/>
  <c r="V121" i="1"/>
  <c r="U4" i="1"/>
  <c r="V4" i="1"/>
  <c r="U21" i="1"/>
  <c r="V21" i="1"/>
  <c r="U93" i="1"/>
  <c r="V93" i="1"/>
  <c r="U87" i="1"/>
  <c r="V87" i="1"/>
  <c r="U49" i="1"/>
  <c r="V49" i="1"/>
  <c r="U100" i="1"/>
  <c r="V100" i="1"/>
  <c r="U101" i="1"/>
  <c r="V101" i="1"/>
  <c r="U95" i="1"/>
  <c r="V95" i="1"/>
  <c r="U24" i="1"/>
  <c r="V24" i="1"/>
  <c r="U57" i="1"/>
  <c r="V57" i="1"/>
  <c r="U10" i="1"/>
  <c r="V10" i="1"/>
  <c r="U27" i="1"/>
  <c r="V27" i="1"/>
  <c r="U91" i="1"/>
  <c r="V91" i="1"/>
  <c r="U20" i="1"/>
  <c r="V20" i="1"/>
  <c r="U84" i="1"/>
  <c r="V84" i="1"/>
  <c r="U37" i="1"/>
  <c r="V37" i="1"/>
  <c r="U55" i="1"/>
  <c r="V55" i="1"/>
  <c r="U72" i="1"/>
  <c r="V72" i="1"/>
  <c r="U6" i="1"/>
  <c r="V6" i="1"/>
  <c r="U98" i="1"/>
  <c r="V98" i="1"/>
  <c r="U30" i="1"/>
  <c r="V30" i="1"/>
  <c r="U68" i="1"/>
  <c r="V68" i="1"/>
  <c r="U8" i="1"/>
  <c r="V8" i="1"/>
  <c r="U83" i="1"/>
  <c r="V83" i="1"/>
  <c r="U119" i="1"/>
  <c r="V119" i="1"/>
  <c r="U40" i="1"/>
  <c r="V40" i="1"/>
  <c r="U65" i="1"/>
  <c r="V65" i="1"/>
  <c r="U26" i="1"/>
  <c r="V26" i="1"/>
  <c r="U35" i="1"/>
  <c r="V35" i="1"/>
  <c r="U99" i="1"/>
  <c r="V99" i="1"/>
  <c r="U28" i="1"/>
  <c r="V28" i="1"/>
  <c r="U92" i="1"/>
  <c r="V92" i="1"/>
  <c r="U34" i="1"/>
  <c r="V34" i="1"/>
  <c r="U45" i="1"/>
  <c r="V45" i="1"/>
  <c r="U109" i="1"/>
  <c r="V109" i="1"/>
  <c r="U18" i="1"/>
  <c r="V18" i="1"/>
  <c r="U71" i="1"/>
  <c r="V71" i="1"/>
  <c r="U104" i="1"/>
  <c r="V104" i="1"/>
  <c r="U14" i="1"/>
  <c r="V14" i="1"/>
  <c r="U7" i="1"/>
  <c r="V7" i="1"/>
  <c r="U115" i="1"/>
  <c r="V115" i="1"/>
  <c r="U44" i="1"/>
  <c r="V44" i="1"/>
  <c r="U61" i="1"/>
  <c r="V61" i="1"/>
  <c r="U82" i="1"/>
  <c r="V82" i="1"/>
  <c r="U123" i="1"/>
  <c r="V123" i="1"/>
  <c r="U74" i="1"/>
  <c r="V74" i="1"/>
  <c r="U5" i="1"/>
  <c r="V5" i="1"/>
  <c r="U106" i="1"/>
  <c r="V106" i="1"/>
  <c r="U2" i="1"/>
  <c r="V2" i="1"/>
  <c r="U16" i="1"/>
  <c r="V16" i="1"/>
  <c r="U11" i="1"/>
  <c r="V11" i="1"/>
  <c r="U75" i="1"/>
  <c r="V75" i="1"/>
  <c r="U32" i="1"/>
  <c r="V32" i="1"/>
  <c r="U48" i="1"/>
  <c r="V48" i="1"/>
  <c r="U81" i="1"/>
  <c r="V81" i="1"/>
  <c r="U42" i="1"/>
  <c r="V42" i="1"/>
  <c r="U43" i="1"/>
  <c r="V43" i="1"/>
  <c r="U107" i="1"/>
  <c r="V107" i="1"/>
  <c r="U36" i="1"/>
  <c r="V36" i="1"/>
  <c r="U66" i="1"/>
  <c r="V66" i="1"/>
  <c r="U53" i="1"/>
  <c r="V53" i="1"/>
  <c r="U117" i="1"/>
  <c r="V117" i="1"/>
  <c r="U50" i="1"/>
  <c r="V50" i="1"/>
  <c r="U79" i="1"/>
  <c r="V79" i="1"/>
  <c r="U112" i="1"/>
  <c r="V112" i="1"/>
  <c r="U22" i="1"/>
  <c r="V22" i="1"/>
  <c r="U118" i="1"/>
  <c r="V118" i="1"/>
  <c r="W2" i="1" l="1"/>
  <c r="W35" i="1"/>
  <c r="W119" i="1"/>
  <c r="W30" i="1"/>
  <c r="W55" i="1"/>
  <c r="W91" i="1"/>
  <c r="C8" i="4" s="1"/>
  <c r="D8" i="4" s="1"/>
  <c r="E8" i="4" s="1"/>
  <c r="W24" i="1"/>
  <c r="W49" i="1"/>
  <c r="W4" i="1"/>
  <c r="W25" i="1"/>
  <c r="W97" i="1"/>
  <c r="W51" i="1"/>
  <c r="W105" i="1"/>
  <c r="W12" i="1"/>
  <c r="W31" i="1"/>
  <c r="W63" i="1"/>
  <c r="W3" i="1"/>
  <c r="W52" i="1"/>
  <c r="W89" i="1"/>
  <c r="W86" i="1"/>
  <c r="W78" i="1"/>
  <c r="W111" i="1"/>
  <c r="W115" i="1"/>
  <c r="W92" i="1"/>
  <c r="W83" i="1"/>
  <c r="W98" i="1"/>
  <c r="W37" i="1"/>
  <c r="W27" i="1"/>
  <c r="W95" i="1"/>
  <c r="W87" i="1"/>
  <c r="W121" i="1"/>
  <c r="W47" i="1"/>
  <c r="W46" i="1"/>
  <c r="W58" i="1"/>
  <c r="W56" i="1"/>
  <c r="W19" i="1"/>
  <c r="W85" i="1"/>
  <c r="W29" i="1"/>
  <c r="W113" i="1"/>
  <c r="W80" i="1"/>
  <c r="W64" i="1"/>
  <c r="C6" i="4" s="1"/>
  <c r="D6" i="4" s="1"/>
  <c r="E6" i="4" s="1"/>
  <c r="W94" i="1"/>
  <c r="W70" i="1"/>
  <c r="W114" i="1"/>
  <c r="W53" i="1"/>
  <c r="W71" i="1"/>
  <c r="W42" i="1"/>
  <c r="W18" i="1"/>
  <c r="C3" i="4" s="1"/>
  <c r="D3" i="4" s="1"/>
  <c r="E3" i="4" s="1"/>
  <c r="W43" i="1"/>
  <c r="W34" i="1"/>
  <c r="W75" i="1"/>
  <c r="W26" i="1"/>
  <c r="W118" i="1"/>
  <c r="W50" i="1"/>
  <c r="W36" i="1"/>
  <c r="W81" i="1"/>
  <c r="W11" i="1"/>
  <c r="W5" i="1"/>
  <c r="W61" i="1"/>
  <c r="W14" i="1"/>
  <c r="W109" i="1"/>
  <c r="W28" i="1"/>
  <c r="W65" i="1"/>
  <c r="W8" i="1"/>
  <c r="W6" i="1"/>
  <c r="W84" i="1"/>
  <c r="W10" i="1"/>
  <c r="W101" i="1"/>
  <c r="W93" i="1"/>
  <c r="W96" i="1"/>
  <c r="W13" i="1"/>
  <c r="W73" i="1"/>
  <c r="W38" i="1"/>
  <c r="W39" i="1"/>
  <c r="W120" i="1"/>
  <c r="W122" i="1"/>
  <c r="W60" i="1"/>
  <c r="W88" i="1"/>
  <c r="W23" i="1"/>
  <c r="W110" i="1"/>
  <c r="W77" i="1"/>
  <c r="W54" i="1"/>
  <c r="W116" i="1"/>
  <c r="W32" i="1"/>
  <c r="W66" i="1"/>
  <c r="W82" i="1"/>
  <c r="W112" i="1"/>
  <c r="W123" i="1"/>
  <c r="W79" i="1"/>
  <c r="W106" i="1"/>
  <c r="W7" i="1"/>
  <c r="W22" i="1"/>
  <c r="W117" i="1"/>
  <c r="W107" i="1"/>
  <c r="W48" i="1"/>
  <c r="C5" i="4" s="1"/>
  <c r="E5" i="4" s="1"/>
  <c r="W16" i="1"/>
  <c r="W74" i="1"/>
  <c r="W44" i="1"/>
  <c r="W104" i="1"/>
  <c r="W45" i="1"/>
  <c r="W99" i="1"/>
  <c r="W40" i="1"/>
  <c r="W68" i="1"/>
  <c r="W72" i="1"/>
  <c r="W20" i="1"/>
  <c r="W57" i="1"/>
  <c r="W100" i="1"/>
  <c r="W21" i="1"/>
  <c r="W15" i="1"/>
  <c r="W59" i="1"/>
  <c r="W108" i="1"/>
  <c r="W102" i="1"/>
  <c r="W76" i="1"/>
  <c r="C7" i="4" s="1"/>
  <c r="D7" i="4" s="1"/>
  <c r="E7" i="4" s="1"/>
  <c r="W33" i="1"/>
  <c r="W41" i="1"/>
  <c r="W67" i="1"/>
  <c r="W69" i="1"/>
  <c r="W103" i="1"/>
  <c r="W62" i="1"/>
  <c r="W90" i="1"/>
  <c r="W17" i="1"/>
  <c r="W9" i="1"/>
  <c r="C4" i="4" l="1"/>
  <c r="D4" i="4" s="1"/>
  <c r="E4" i="4" s="1"/>
  <c r="C2" i="4"/>
  <c r="D2" i="4" l="1"/>
  <c r="C9" i="4"/>
  <c r="D9" i="4" l="1"/>
  <c r="E2" i="4"/>
  <c r="E9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59C55-263A-704E-8F5E-C6FB867A9EC4}" keepAlive="1" name="Запрос — hr_last (1)" description="Соединение с запросом &quot;hr_last (1)&quot; в книге." type="5" refreshedVersion="8" background="1" saveData="1">
    <dbPr connection="Provider=Microsoft.Mashup.OleDb.1;Data Source=$Workbook$;Location=&quot;hr_last (1)&quot;;Extended Properties=&quot;&quot;" command="SELECT * FROM [hr_last (1)]"/>
  </connection>
  <connection id="2" xr16:uid="{46D9F7B8-E2B3-284C-9798-534029EB931B}" keepAlive="1" name="Запрос — salary_bands" description="Соединение с запросом &quot;salary_bands&quot; в книге." type="5" refreshedVersion="8" background="1" saveData="1">
    <dbPr connection="Provider=Microsoft.Mashup.OleDb.1;Data Source=$Workbook$;Location=salary_bands;Extended Properties=&quot;&quot;" command="SELECT * FROM [salary_band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<sst xmlns="http://schemas.openxmlformats.org/spreadsheetml/2006/main" count="1599" uniqueCount="187">
  <si>
    <t>employee_id</t>
  </si>
  <si>
    <t>month</t>
  </si>
  <si>
    <t>full_name</t>
  </si>
  <si>
    <t>dept_l1</t>
  </si>
  <si>
    <t>dept_l2</t>
  </si>
  <si>
    <t>dept_l3</t>
  </si>
  <si>
    <t>prof_group</t>
  </si>
  <si>
    <t>role</t>
  </si>
  <si>
    <t>grade</t>
  </si>
  <si>
    <t>rate</t>
  </si>
  <si>
    <t>salary</t>
  </si>
  <si>
    <t>hire_date</t>
  </si>
  <si>
    <t>manager_id</t>
  </si>
  <si>
    <t>Дмитрий Кузнецов</t>
  </si>
  <si>
    <t>Технологический блок</t>
  </si>
  <si>
    <t xml:space="preserve">Разработка </t>
  </si>
  <si>
    <t>Бэкенд</t>
  </si>
  <si>
    <t>Разработка</t>
  </si>
  <si>
    <t>Младший специалист</t>
  </si>
  <si>
    <t>Анна Козлова</t>
  </si>
  <si>
    <t>Иван Лебедев</t>
  </si>
  <si>
    <t>Разраб.</t>
  </si>
  <si>
    <t>Фронтенд</t>
  </si>
  <si>
    <t>Специалист</t>
  </si>
  <si>
    <t>Ксения Попова</t>
  </si>
  <si>
    <t>Роман Иванов</t>
  </si>
  <si>
    <t>Татьяна Козлова</t>
  </si>
  <si>
    <t>Старший специалист</t>
  </si>
  <si>
    <t>Алексей Новиков</t>
  </si>
  <si>
    <t>Юлия Васильева</t>
  </si>
  <si>
    <t>разработка</t>
  </si>
  <si>
    <t>Ведущий специалист</t>
  </si>
  <si>
    <t>Алексей Лебедев</t>
  </si>
  <si>
    <t>Ирина Соловьёва</t>
  </si>
  <si>
    <t>Алексей Козлов</t>
  </si>
  <si>
    <t>Маргарита Соколова</t>
  </si>
  <si>
    <t>Руководитель группы</t>
  </si>
  <si>
    <t>Роман Павлов</t>
  </si>
  <si>
    <t>Евгения Кузнецова</t>
  </si>
  <si>
    <t>Денис Кузнецов</t>
  </si>
  <si>
    <t>Руководитель отдела</t>
  </si>
  <si>
    <t>Светлана Смирнова</t>
  </si>
  <si>
    <t>Григорий Смирнов</t>
  </si>
  <si>
    <t xml:space="preserve">Аналитика данных </t>
  </si>
  <si>
    <t/>
  </si>
  <si>
    <t>Аналитика данных</t>
  </si>
  <si>
    <t>Полина Козлова</t>
  </si>
  <si>
    <t>аналитика данных</t>
  </si>
  <si>
    <t>Иван Соловьёв</t>
  </si>
  <si>
    <t>Ирина Кузнецова</t>
  </si>
  <si>
    <t>Сергей Голубев</t>
  </si>
  <si>
    <t>Дарья Волкова</t>
  </si>
  <si>
    <t>Дмитрий Новиков</t>
  </si>
  <si>
    <t>Ирина Новикова</t>
  </si>
  <si>
    <t>Артём Кузнецов</t>
  </si>
  <si>
    <t>Наталья Голубева</t>
  </si>
  <si>
    <t>Денис Васильев</t>
  </si>
  <si>
    <t>Елена Иванова</t>
  </si>
  <si>
    <t>Максим Семёнов</t>
  </si>
  <si>
    <t>Ольга Семёнова</t>
  </si>
  <si>
    <t>Фёдор Голубев</t>
  </si>
  <si>
    <t>Инфраструктура</t>
  </si>
  <si>
    <t>Алина Морозова</t>
  </si>
  <si>
    <t>Фёдор Соколов</t>
  </si>
  <si>
    <t>Мария Соловьёва</t>
  </si>
  <si>
    <t>Андрей Иванов</t>
  </si>
  <si>
    <t>Ирина Зайцева</t>
  </si>
  <si>
    <t>Алексей Павлов</t>
  </si>
  <si>
    <t>Ирина Морозова</t>
  </si>
  <si>
    <t>Алексей Смирнов</t>
  </si>
  <si>
    <t>Светлана Соколова</t>
  </si>
  <si>
    <t>Григорий Волков</t>
  </si>
  <si>
    <t>Елена Соколова</t>
  </si>
  <si>
    <t>Максим Морозов</t>
  </si>
  <si>
    <t>Вероника Морозова</t>
  </si>
  <si>
    <t>Григорий Павлов</t>
  </si>
  <si>
    <t>Наталья Иванова</t>
  </si>
  <si>
    <t>Пётр Васильев</t>
  </si>
  <si>
    <t>Финансовый блок</t>
  </si>
  <si>
    <t xml:space="preserve">Бюджетирование </t>
  </si>
  <si>
    <t>Бюджетирование</t>
  </si>
  <si>
    <t>Вероника Соколова</t>
  </si>
  <si>
    <t>Бюджет-е</t>
  </si>
  <si>
    <t>Елена Зайцева</t>
  </si>
  <si>
    <t>Григорий Васильев</t>
  </si>
  <si>
    <t>Алина Соловьёва</t>
  </si>
  <si>
    <t>Владимир Соловьёв</t>
  </si>
  <si>
    <t>Светлана Иванова</t>
  </si>
  <si>
    <t>Денис Попов</t>
  </si>
  <si>
    <t>Дарья Васильева</t>
  </si>
  <si>
    <t>Дмитрий Волков</t>
  </si>
  <si>
    <t>Наталья Козлова</t>
  </si>
  <si>
    <t>Иван Волков</t>
  </si>
  <si>
    <t>Ксения Семёнова</t>
  </si>
  <si>
    <t>Андрей Кузнецов</t>
  </si>
  <si>
    <t>Ирина Волкова</t>
  </si>
  <si>
    <t>Фёдор Кузнецов</t>
  </si>
  <si>
    <t>Компенсации и льготы</t>
  </si>
  <si>
    <t>Алина Голубева</t>
  </si>
  <si>
    <t>Дмитрий Павлов</t>
  </si>
  <si>
    <t>Елена Семёнова</t>
  </si>
  <si>
    <t>Артём Семёнов</t>
  </si>
  <si>
    <t>Николай Морозов</t>
  </si>
  <si>
    <t>Анна Зайцева</t>
  </si>
  <si>
    <t>Денис Новиков</t>
  </si>
  <si>
    <t>Владимир Смирнов</t>
  </si>
  <si>
    <t>Операционный блок</t>
  </si>
  <si>
    <t>HR</t>
  </si>
  <si>
    <t>Стажёр</t>
  </si>
  <si>
    <t>Мария Морозова</t>
  </si>
  <si>
    <t>Владимир Морозов</t>
  </si>
  <si>
    <t>Мария Васильева</t>
  </si>
  <si>
    <t>Николай Козлов</t>
  </si>
  <si>
    <t>Елена Козлова</t>
  </si>
  <si>
    <t>Дмитрий Лебедев</t>
  </si>
  <si>
    <t>Алина Зайцева</t>
  </si>
  <si>
    <t>Николай Попов</t>
  </si>
  <si>
    <t>Татьяна Кузнецова</t>
  </si>
  <si>
    <t>Кирилл Семёнов</t>
  </si>
  <si>
    <t>Евгения Семёнова</t>
  </si>
  <si>
    <t>Алексей Морозов</t>
  </si>
  <si>
    <t>Кирилл Морозов</t>
  </si>
  <si>
    <t>Дарья Кузнецова</t>
  </si>
  <si>
    <t>Поддержка</t>
  </si>
  <si>
    <t>Артём Васильев</t>
  </si>
  <si>
    <t>Дарья Соловьёва</t>
  </si>
  <si>
    <t>Роман Волков</t>
  </si>
  <si>
    <t>Полина Смирнова</t>
  </si>
  <si>
    <t>Маргарита Соловьёва</t>
  </si>
  <si>
    <t>Наталья Соколова</t>
  </si>
  <si>
    <t>Вероника Волкова</t>
  </si>
  <si>
    <t>Роман Кузнецов</t>
  </si>
  <si>
    <t>Станислав Ершов</t>
  </si>
  <si>
    <t>Регина Панкратова</t>
  </si>
  <si>
    <t>Матвей Крылов</t>
  </si>
  <si>
    <t>Аркадий Логинов</t>
  </si>
  <si>
    <t>Жанна Егорова</t>
  </si>
  <si>
    <t>Валерия Носова</t>
  </si>
  <si>
    <t>Тимофей Гущин</t>
  </si>
  <si>
    <t>Эдуард Лаптев</t>
  </si>
  <si>
    <t>Виктор Григорьев</t>
  </si>
  <si>
    <t>Руководитель разработки</t>
  </si>
  <si>
    <t>Павел Орлов</t>
  </si>
  <si>
    <t>Родион Зайцев</t>
  </si>
  <si>
    <t>Глеб Фомин</t>
  </si>
  <si>
    <t>Ведущий инженер</t>
  </si>
  <si>
    <t>Марина Белова</t>
  </si>
  <si>
    <t>Артур Киселёв</t>
  </si>
  <si>
    <t>Вера Тарасова</t>
  </si>
  <si>
    <t>Лидия Панова</t>
  </si>
  <si>
    <t>Тимур Ершов</t>
  </si>
  <si>
    <t>Оксана Гусева</t>
  </si>
  <si>
    <t>salary_min</t>
  </si>
  <si>
    <t>salary_mid</t>
  </si>
  <si>
    <t>salary_max</t>
  </si>
  <si>
    <t>статус_вилки</t>
  </si>
  <si>
    <t>разрыв_до_минимума</t>
  </si>
  <si>
    <t>полный_оклад</t>
  </si>
  <si>
    <t>разрыв_до_середины</t>
  </si>
  <si>
    <t>Остаток</t>
  </si>
  <si>
    <t>факт_прибавка_мин</t>
  </si>
  <si>
    <t>факт_прибавка_сер</t>
  </si>
  <si>
    <t>итого_прибавка</t>
  </si>
  <si>
    <t>Отдел</t>
  </si>
  <si>
    <t>Лимит</t>
  </si>
  <si>
    <t>Потребность</t>
  </si>
  <si>
    <t>В рамках лимита</t>
  </si>
  <si>
    <t>Итого</t>
  </si>
  <si>
    <t>Инфраструктура — детализация (лимит 100 000)</t>
  </si>
  <si>
    <t>ФИО</t>
  </si>
  <si>
    <t>Приоритет</t>
  </si>
  <si>
    <t>Нужно</t>
  </si>
  <si>
    <t>Выделено</t>
  </si>
  <si>
    <t>Статус</t>
  </si>
  <si>
    <t>ниже минимума</t>
  </si>
  <si>
    <t>ниже середины</t>
  </si>
  <si>
    <t>Поднят</t>
  </si>
  <si>
    <t>Частично</t>
  </si>
  <si>
    <t>Перенос</t>
  </si>
  <si>
    <t>нет вилки (grade 12)</t>
  </si>
  <si>
    <t xml:space="preserve">Примечание: 3 стажёра Поддержки (grade 12) исключены из анализа - в salary_bands отсутствует вилка для этого грейда. </t>
  </si>
  <si>
    <t>Количество</t>
  </si>
  <si>
    <t>Ниже минимума</t>
  </si>
  <si>
    <t>Ниже середины</t>
  </si>
  <si>
    <t>Выше середины</t>
  </si>
  <si>
    <t>Выше максимума</t>
  </si>
  <si>
    <t>Нет вилки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</si>
</sst>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1" fillId="0" borderId="0" xfId="0" applyFont="1" applyAlignment="1">
      <alignment wrapText="1"/>
    </xf>
    <xf numFmtId="3" fontId="2" fillId="0" borderId="0" xfId="0" applyNumberFormat="1" applyFont="1"/>
    <xf numFmtId="3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3" fontId="0" fillId="0" borderId="0" xfId="0" applyNumberFormat="1" applyBorder="1"/>
    <xf numFmtId="0" fontId="1" fillId="0" borderId="0" xfId="0" applyFont="1" applyBorder="1" applyAlignment="1">
      <alignment wrapText="1"/>
    </xf>
    <xf numFmtId="0" fontId="2" fillId="0" borderId="0" xfId="0" applyFont="1" applyBorder="1"/>
    <xf numFmtId="3" fontId="2" fillId="0" borderId="0" xfId="0" applyNumberFormat="1" applyFont="1" applyBorder="1"/>
  </cellXfs>
  <cellStyles count="1">
    <cellStyle name="Обычный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сотрудников по статусу относительно вилки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График!$A$2:$A$6</c:f>
              <c:strCache>
                <c:ptCount val="5"/>
                <c:pt idx="0">
                  <c:v>Ниже минимума</c:v>
                </c:pt>
                <c:pt idx="1">
                  <c:v>Ниже середины</c:v>
                </c:pt>
                <c:pt idx="2">
                  <c:v>Выше середины</c:v>
                </c:pt>
                <c:pt idx="3">
                  <c:v>Выше максимума</c:v>
                </c:pt>
                <c:pt idx="4">
                  <c:v>Нет вилки</c:v>
                </c:pt>
              </c:strCache>
            </c:strRef>
          </c:cat>
          <c:val>
            <c:numRef>
              <c:f>График!$B$2:$B$6</c:f>
              <c:numCache>
                <c:formatCode>General</c:formatCode>
                <c:ptCount val="5"/>
                <c:pt idx="0">
                  <c:v>9</c:v>
                </c:pt>
                <c:pt idx="1">
                  <c:v>47</c:v>
                </c:pt>
                <c:pt idx="2">
                  <c:v>54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3-624E-8E5C-C55EE35230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560015"/>
        <c:axId val="771563055"/>
      </c:barChart>
      <c:catAx>
        <c:axId val="7715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1563055"/>
        <c:crosses val="autoZero"/>
        <c:auto val="1"/>
        <c:lblAlgn val="ctr"/>
        <c:lblOffset val="100"/>
        <c:noMultiLvlLbl val="0"/>
      </c:catAx>
      <c:valAx>
        <c:axId val="7715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156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9</xdr:row>
      <xdr:rowOff>44450</xdr:rowOff>
    </xdr:from>
    <xdr:to>
      <xdr:col>12</xdr:col>
      <xdr:colOff>539750</xdr:colOff>
      <xdr:row>22</xdr:row>
      <xdr:rowOff>146050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BE4360-A4FD-88AD-1269-3DB8DBE82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D9AADD-A52B-9A4F-BC61-8976A453F896}" autoFormatId="16" applyNumberFormats="0" applyBorderFormats="0" applyFontFormats="0" applyPatternFormats="0" applyAlignmentFormats="0" applyWidthHeightFormats="0">
  <queryTableRefresh nextId="14">
    <queryTableFields count="13">
      <queryTableField id="1" name="employee_id" tableColumnId="1"/>
      <queryTableField id="2" name="month" tableColumnId="2"/>
      <queryTableField id="3" name="full_name" tableColumnId="3"/>
      <queryTableField id="4" name="dept_l1" tableColumnId="4"/>
      <queryTableField id="5" name="dept_l2" tableColumnId="5"/>
      <queryTableField id="6" name="dept_l3" tableColumnId="6"/>
      <queryTableField id="7" name="prof_group" tableColumnId="7"/>
      <queryTableField id="8" name="role" tableColumnId="8"/>
      <queryTableField id="9" name="grade" tableColumnId="9"/>
      <queryTableField id="10" name="rate" tableColumnId="10"/>
      <queryTableField id="11" name="salary" tableColumnId="11"/>
      <queryTableField id="12" name="hire_date" tableColumnId="12"/>
      <queryTableField id="13" name="manager_i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BAADA6-7465-424E-A84E-F5C2DC065E91}" autoFormatId="16" applyNumberFormats="0" applyBorderFormats="0" applyFontFormats="0" applyPatternFormats="0" applyAlignmentFormats="0" applyWidthHeightFormats="0">
  <queryTableRefresh nextId="6">
    <queryTableFields count="5">
      <queryTableField id="1" name="prof_group" tableColumnId="1"/>
      <queryTableField id="2" name="grade" tableColumnId="2"/>
      <queryTableField id="3" name="salary_min" tableColumnId="3"/>
      <queryTableField id="4" name="salary_mid" tableColumnId="4"/>
      <queryTableField id="5" name="salary_ma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AABF5-FDD6-7141-BB0D-0EC755B0537B}" name="hr_last__1" displayName="hr_last__1" ref="A1:M123" tableType="queryTable" totalsRowShown="0">
  <autoFilter ref="A1:M123" xr:uid="{AEEAABF5-FDD6-7141-BB0D-0EC755B0537B}"/>
  <tableColumns count="13">
    <tableColumn id="1" xr3:uid="{089B4CC5-73F0-BC4B-AF48-86E203C10F11}" uniqueName="1" name="employee_id" queryTableFieldId="1"/>
    <tableColumn id="2" xr3:uid="{F7F15DC1-216C-E24B-8CCC-54882DA6030D}" uniqueName="2" name="month" queryTableFieldId="2" dataDxfId="22"/>
    <tableColumn id="3" xr3:uid="{5AAEE83C-00CF-5E40-9B00-FAB5E2B02E05}" uniqueName="3" name="full_name" queryTableFieldId="3" dataDxfId="21"/>
    <tableColumn id="4" xr3:uid="{2C9CB250-7F43-E942-B24F-554B78DCDF98}" uniqueName="4" name="dept_l1" queryTableFieldId="4" dataDxfId="20"/>
    <tableColumn id="5" xr3:uid="{79A765DC-85E6-5048-8BC3-EFCA26D3D36D}" uniqueName="5" name="dept_l2" queryTableFieldId="5" dataDxfId="19"/>
    <tableColumn id="6" xr3:uid="{36E057D6-B200-A84C-AF2E-8FCAE97A29B8}" uniqueName="6" name="dept_l3" queryTableFieldId="6" dataDxfId="18"/>
    <tableColumn id="7" xr3:uid="{4D83C4D6-A04F-9141-80F6-BB540B421FDE}" uniqueName="7" name="prof_group" queryTableFieldId="7" dataDxfId="17"/>
    <tableColumn id="8" xr3:uid="{33DD6341-F95E-7945-9BE1-2C59BB859236}" uniqueName="8" name="role" queryTableFieldId="8" dataDxfId="16"/>
    <tableColumn id="9" xr3:uid="{39B2188B-CD35-3745-8273-6E1B880FDFE4}" uniqueName="9" name="grade" queryTableFieldId="9"/>
    <tableColumn id="10" xr3:uid="{9F57FC01-EAE6-A647-93BE-42F139576B7D}" uniqueName="10" name="rate" queryTableFieldId="10"/>
    <tableColumn id="11" xr3:uid="{CA916F89-1ED6-FB49-88FE-2EEBB1CC4F47}" uniqueName="11" name="salary" queryTableFieldId="11"/>
    <tableColumn id="12" xr3:uid="{B6BD8B2B-2509-AA48-A380-5B395F6FF175}" uniqueName="12" name="hire_date" queryTableFieldId="12" dataDxfId="15"/>
    <tableColumn id="13" xr3:uid="{D25CEAF5-C5FB-C145-AAFF-93CCB9759D07}" uniqueName="13" name="manager_id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8102D-87A8-C546-9A3F-B82223B9C458}" name="salary_bands" displayName="salary_bands" ref="A1:E35" tableType="queryTable" totalsRowShown="0">
  <autoFilter ref="A1:E35" xr:uid="{B7A8102D-87A8-C546-9A3F-B82223B9C458}"/>
  <tableColumns count="5">
    <tableColumn id="1" xr3:uid="{B1739D4F-CD07-DF42-BDA6-60253F565D15}" uniqueName="1" name="prof_group" queryTableFieldId="1" dataDxfId="14"/>
    <tableColumn id="2" xr3:uid="{357D2167-D2AD-D643-91BD-4E3586670881}" uniqueName="2" name="grade" queryTableFieldId="2"/>
    <tableColumn id="3" xr3:uid="{AAD57988-2BFD-464C-9DDB-A3D695E9F13C}" uniqueName="3" name="salary_min" queryTableFieldId="3"/>
    <tableColumn id="4" xr3:uid="{9221FA83-F007-D34D-9824-0F6BF4786883}" uniqueName="4" name="salary_mid" queryTableFieldId="4"/>
    <tableColumn id="5" xr3:uid="{9E91BBC9-61BD-4E40-B1D9-637CFD38670B}" uniqueName="5" name="salary_max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32BC13-C118-5648-9AEB-5740BCCFA7E6}" name="Таблица3" displayName="Таблица3" ref="A1:W123" totalsRowShown="0">
  <autoFilter ref="A1:W123" xr:uid="{C432BC13-C118-5648-9AEB-5740BCCFA7E6}"/>
  <tableColumns count="23">
    <tableColumn id="1" xr3:uid="{D238CA7C-9F2D-B841-84EE-256EFA34C1E6}" name="employee_id"/>
    <tableColumn id="2" xr3:uid="{0A0865B4-57AE-6344-A39A-AB1159A3127C}" name="month" dataDxfId="13"/>
    <tableColumn id="3" xr3:uid="{FB51149B-C313-264C-BD20-2AAD83DFB3F3}" name="full_name"/>
    <tableColumn id="4" xr3:uid="{EBB1ACA4-79C2-B84C-978E-F798AD6DBE79}" name="dept_l1"/>
    <tableColumn id="5" xr3:uid="{81D45F89-D0F9-494E-8A10-61D591466EEA}" name="dept_l2"/>
    <tableColumn id="6" xr3:uid="{91D1BFFF-A60E-CA4D-9905-A18A5B4BFC5E}" name="dept_l3"/>
    <tableColumn id="7" xr3:uid="{8861B8D8-C272-C24D-857E-A625C6A403C9}" name="prof_group"/>
    <tableColumn id="8" xr3:uid="{C69EDF14-CDEC-F64D-8393-D4C68361ABFE}" name="role"/>
    <tableColumn id="9" xr3:uid="{46FB7BBB-9ADA-CD48-87CC-5ADC39FE3C54}" name="grade"/>
    <tableColumn id="10" xr3:uid="{7ECC8D9A-47A4-1849-B8A3-E0EA8EA84948}" name="rate"/>
    <tableColumn id="11" xr3:uid="{28184951-E3E2-6842-A1F3-C28C025A3F16}" name="salary"/>
    <tableColumn id="12" xr3:uid="{68DD9093-AC87-4747-9445-BB0C4C00AFF0}" name="hire_date" dataDxfId="12"/>
    <tableColumn id="13" xr3:uid="{519E4B5E-FBB4-5542-B407-E007B7010B83}" name="manager_id"/>
    <tableColumn id="14" xr3:uid="{E1618BA7-AEC6-AE4A-BA50-13F567C58031}" name="salary_min">
      <calculatedColumnFormula>SUMIFS(salary_bands[salary_min],salary_bands[prof_group],G2,salary_bands[grade],I2)</calculatedColumnFormula>
    </tableColumn>
    <tableColumn id="15" xr3:uid="{18FC109B-0777-0B47-A645-D1A8924BD597}" name="salary_mid">
      <calculatedColumnFormula>SUMIFS(salary_bands[salary_mid],salary_bands[prof_group],G2,salary_bands[grade],I2)</calculatedColumnFormula>
    </tableColumn>
    <tableColumn id="16" xr3:uid="{972C517D-1D49-C446-8073-5D8CA2E03D1A}" name="salary_max">
      <calculatedColumnFormula>SUMIFS(salary_bands[salary_max],salary_bands[prof_group],G2,salary_bands[grade],I2)</calculatedColumnFormula>
    </tableColumn>
    <tableColumn id="17" xr3:uid="{96A7301D-F95C-9B4C-AEB9-BED7ED2617B5}" name="статус_вилки">
      <calculatedColumnFormula array="1">_xlfn.IFS(S2&lt;N2,"ниже минимума",S2&lt;=O2,"ниже середины",S2&lt;=P2,"выше середины",S2&gt;P2,"выше максимума")</calculatedColumnFormula>
    </tableColumn>
    <tableColumn id="18" xr3:uid="{3319D0B2-16ED-1449-878E-D9CC56391ECC}" name="разрыв_до_минимума">
      <calculatedColumnFormula>IF(S2&lt;N2,N2-S2,0)</calculatedColumnFormula>
    </tableColumn>
    <tableColumn id="19" xr3:uid="{C8673600-EDAB-1E45-AAF6-2E2F512E8759}" name="полный_оклад">
      <calculatedColumnFormula>K2/J2</calculatedColumnFormula>
    </tableColumn>
    <tableColumn id="20" xr3:uid="{D4501C2F-0342-6F4B-8371-23AA09B1C5C6}" name="разрыв_до_середины" dataDxfId="11">
      <calculatedColumnFormula>IF(S2&lt;O2,O2-S2,0)</calculatedColumnFormula>
    </tableColumn>
    <tableColumn id="21" xr3:uid="{CBC7D102-2F01-DA4A-BB6B-46D74401BAC4}" name="факт_прибавка_мин">
      <calculatedColumnFormula>IF(R2&gt;0, R2*J2, 0)</calculatedColumnFormula>
    </tableColumn>
    <tableColumn id="22" xr3:uid="{35F2083A-7655-2D49-9B90-16D61FA46AFF}" name="факт_прибавка_сер" dataDxfId="10">
      <calculatedColumnFormula>IF(AND(R2=0, T2&gt;3000), T2*J2, 0)</calculatedColumnFormula>
    </tableColumn>
    <tableColumn id="23" xr3:uid="{8646BBA3-F155-6F49-9283-D32251EC6AD2}" name="итого_прибавка" dataDxfId="9">
      <calculatedColumnFormula>U2+V2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3D9D-414C-E74B-97D4-5D0AA056F259}">
  <dimension ref="A1:M123"/>
  <sheetViews>
    <sheetView tabSelected="1" workbookViewId="0">
      <selection activeCell="F22" sqref="F22"/>
    </sheetView>
  </sheetViews>
  <sheetFormatPr baseColWidth="10" defaultRowHeight="16" x14ac:dyDescent="0.2"/>
  <cols>
    <col min="1" max="1" width="14" bestFit="1" customWidth="1"/>
    <col min="2" max="2" width="10.1640625" bestFit="1" customWidth="1"/>
    <col min="3" max="3" width="19.6640625" bestFit="1" customWidth="1"/>
    <col min="4" max="4" width="20" bestFit="1" customWidth="1"/>
    <col min="5" max="5" width="20.1640625" bestFit="1" customWidth="1"/>
    <col min="6" max="6" width="9.6640625" bestFit="1" customWidth="1"/>
    <col min="7" max="7" width="20.1640625" bestFit="1" customWidth="1"/>
    <col min="8" max="8" width="23" bestFit="1" customWidth="1"/>
    <col min="9" max="9" width="8.33203125" bestFit="1" customWidth="1"/>
    <col min="10" max="10" width="7" bestFit="1" customWidth="1"/>
    <col min="11" max="11" width="8.6640625" bestFit="1" customWidth="1"/>
    <col min="12" max="12" width="11.33203125" bestFit="1" customWidth="1"/>
    <col min="13" max="13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1000</v>
      </c>
      <c r="B2" s="1">
        <v>45809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13</v>
      </c>
      <c r="J2">
        <v>0.5</v>
      </c>
      <c r="K2">
        <v>82500</v>
      </c>
      <c r="L2" s="1">
        <v>45342</v>
      </c>
    </row>
    <row r="3" spans="1:13" x14ac:dyDescent="0.2">
      <c r="A3">
        <v>1001</v>
      </c>
      <c r="B3" s="1">
        <v>45809</v>
      </c>
      <c r="C3" t="s">
        <v>19</v>
      </c>
      <c r="D3" t="s">
        <v>14</v>
      </c>
      <c r="E3" t="s">
        <v>17</v>
      </c>
      <c r="F3" t="s">
        <v>16</v>
      </c>
      <c r="G3" t="s">
        <v>17</v>
      </c>
      <c r="H3" t="s">
        <v>18</v>
      </c>
      <c r="I3">
        <v>13</v>
      </c>
      <c r="J3">
        <v>1</v>
      </c>
      <c r="K3">
        <v>165000</v>
      </c>
      <c r="L3" s="1">
        <v>45342</v>
      </c>
    </row>
    <row r="4" spans="1:13" x14ac:dyDescent="0.2">
      <c r="A4">
        <v>1002</v>
      </c>
      <c r="B4" s="1">
        <v>45809</v>
      </c>
      <c r="C4" t="s">
        <v>20</v>
      </c>
      <c r="D4" t="s">
        <v>14</v>
      </c>
      <c r="E4" t="s">
        <v>21</v>
      </c>
      <c r="F4" t="s">
        <v>22</v>
      </c>
      <c r="G4" t="s">
        <v>17</v>
      </c>
      <c r="H4" t="s">
        <v>23</v>
      </c>
      <c r="I4">
        <v>14</v>
      </c>
      <c r="J4">
        <v>1</v>
      </c>
      <c r="K4">
        <v>207000</v>
      </c>
      <c r="L4" s="1">
        <v>45342</v>
      </c>
    </row>
    <row r="5" spans="1:13" x14ac:dyDescent="0.2">
      <c r="A5">
        <v>1003</v>
      </c>
      <c r="B5" s="1">
        <v>45809</v>
      </c>
      <c r="C5" t="s">
        <v>24</v>
      </c>
      <c r="D5" t="s">
        <v>14</v>
      </c>
      <c r="E5" t="s">
        <v>17</v>
      </c>
      <c r="F5" t="s">
        <v>22</v>
      </c>
      <c r="G5" t="s">
        <v>17</v>
      </c>
      <c r="H5" t="s">
        <v>23</v>
      </c>
      <c r="I5">
        <v>14</v>
      </c>
      <c r="J5">
        <v>1</v>
      </c>
      <c r="K5">
        <v>174000</v>
      </c>
      <c r="L5" s="1">
        <v>44256</v>
      </c>
    </row>
    <row r="6" spans="1:13" x14ac:dyDescent="0.2">
      <c r="A6">
        <v>1004</v>
      </c>
      <c r="B6" s="1">
        <v>45809</v>
      </c>
      <c r="C6" t="s">
        <v>25</v>
      </c>
      <c r="D6" t="s">
        <v>14</v>
      </c>
      <c r="E6" t="s">
        <v>17</v>
      </c>
      <c r="F6" t="s">
        <v>22</v>
      </c>
      <c r="G6" t="s">
        <v>17</v>
      </c>
      <c r="H6" t="s">
        <v>23</v>
      </c>
      <c r="I6">
        <v>16</v>
      </c>
      <c r="J6">
        <v>1</v>
      </c>
      <c r="K6">
        <v>209000</v>
      </c>
      <c r="L6" s="1">
        <v>45601</v>
      </c>
    </row>
    <row r="7" spans="1:13" x14ac:dyDescent="0.2">
      <c r="A7">
        <v>1005</v>
      </c>
      <c r="B7" s="1">
        <v>45809</v>
      </c>
      <c r="C7" t="s">
        <v>26</v>
      </c>
      <c r="D7" t="s">
        <v>14</v>
      </c>
      <c r="E7" t="s">
        <v>15</v>
      </c>
      <c r="F7" t="s">
        <v>22</v>
      </c>
      <c r="G7" t="s">
        <v>17</v>
      </c>
      <c r="H7" t="s">
        <v>27</v>
      </c>
      <c r="I7">
        <v>15</v>
      </c>
      <c r="J7">
        <v>1</v>
      </c>
      <c r="K7">
        <v>188000</v>
      </c>
      <c r="L7" s="1">
        <v>44256</v>
      </c>
    </row>
    <row r="8" spans="1:13" x14ac:dyDescent="0.2">
      <c r="A8">
        <v>1006</v>
      </c>
      <c r="B8" s="1">
        <v>45809</v>
      </c>
      <c r="C8" t="s">
        <v>28</v>
      </c>
      <c r="D8" t="s">
        <v>14</v>
      </c>
      <c r="E8" t="s">
        <v>15</v>
      </c>
      <c r="F8" t="s">
        <v>16</v>
      </c>
      <c r="G8" t="s">
        <v>17</v>
      </c>
      <c r="H8" t="s">
        <v>27</v>
      </c>
      <c r="I8">
        <v>15</v>
      </c>
      <c r="J8">
        <v>1</v>
      </c>
      <c r="K8">
        <v>216000</v>
      </c>
      <c r="L8" s="1">
        <v>44256</v>
      </c>
    </row>
    <row r="9" spans="1:13" x14ac:dyDescent="0.2">
      <c r="A9">
        <v>1007</v>
      </c>
      <c r="B9" s="1">
        <v>45809</v>
      </c>
      <c r="C9" t="s">
        <v>29</v>
      </c>
      <c r="D9" t="s">
        <v>14</v>
      </c>
      <c r="E9" t="s">
        <v>30</v>
      </c>
      <c r="F9" t="s">
        <v>22</v>
      </c>
      <c r="G9" t="s">
        <v>17</v>
      </c>
      <c r="H9" t="s">
        <v>31</v>
      </c>
      <c r="I9">
        <v>16</v>
      </c>
      <c r="J9">
        <v>1</v>
      </c>
      <c r="K9">
        <v>231000</v>
      </c>
      <c r="L9" s="1">
        <v>45170</v>
      </c>
    </row>
    <row r="10" spans="1:13" x14ac:dyDescent="0.2">
      <c r="A10">
        <v>1008</v>
      </c>
      <c r="B10" s="1">
        <v>45809</v>
      </c>
      <c r="C10" t="s">
        <v>32</v>
      </c>
      <c r="D10" t="s">
        <v>14</v>
      </c>
      <c r="E10" t="s">
        <v>30</v>
      </c>
      <c r="F10" t="s">
        <v>16</v>
      </c>
      <c r="G10" t="s">
        <v>17</v>
      </c>
      <c r="H10" t="s">
        <v>31</v>
      </c>
      <c r="I10">
        <v>16</v>
      </c>
      <c r="J10">
        <v>1</v>
      </c>
      <c r="K10">
        <v>222000</v>
      </c>
      <c r="L10" s="1">
        <v>44727</v>
      </c>
    </row>
    <row r="11" spans="1:13" x14ac:dyDescent="0.2">
      <c r="A11">
        <v>1009</v>
      </c>
      <c r="B11" s="1">
        <v>45809</v>
      </c>
      <c r="C11" t="s">
        <v>33</v>
      </c>
      <c r="D11" t="s">
        <v>14</v>
      </c>
      <c r="E11" t="s">
        <v>21</v>
      </c>
      <c r="F11" t="s">
        <v>16</v>
      </c>
      <c r="G11" t="s">
        <v>17</v>
      </c>
      <c r="H11" t="s">
        <v>31</v>
      </c>
      <c r="I11">
        <v>16</v>
      </c>
      <c r="J11">
        <v>1</v>
      </c>
      <c r="K11">
        <v>195000</v>
      </c>
      <c r="L11" s="1">
        <v>43845</v>
      </c>
    </row>
    <row r="12" spans="1:13" x14ac:dyDescent="0.2">
      <c r="A12">
        <v>1010</v>
      </c>
      <c r="B12" s="1">
        <v>45809</v>
      </c>
      <c r="C12" t="s">
        <v>34</v>
      </c>
      <c r="D12" t="s">
        <v>14</v>
      </c>
      <c r="E12" t="s">
        <v>21</v>
      </c>
      <c r="F12" t="s">
        <v>16</v>
      </c>
      <c r="G12" t="s">
        <v>17</v>
      </c>
      <c r="H12" t="s">
        <v>31</v>
      </c>
      <c r="I12">
        <v>16</v>
      </c>
      <c r="J12">
        <v>0.6</v>
      </c>
      <c r="K12">
        <v>121800</v>
      </c>
      <c r="L12" s="1">
        <v>45170</v>
      </c>
    </row>
    <row r="13" spans="1:13" x14ac:dyDescent="0.2">
      <c r="A13">
        <v>1011</v>
      </c>
      <c r="B13" s="1">
        <v>45809</v>
      </c>
      <c r="C13" t="s">
        <v>35</v>
      </c>
      <c r="D13" t="s">
        <v>14</v>
      </c>
      <c r="E13" t="s">
        <v>30</v>
      </c>
      <c r="F13" t="s">
        <v>22</v>
      </c>
      <c r="G13" t="s">
        <v>17</v>
      </c>
      <c r="H13" t="s">
        <v>36</v>
      </c>
      <c r="I13">
        <v>17</v>
      </c>
      <c r="J13">
        <v>1</v>
      </c>
      <c r="K13">
        <v>247000</v>
      </c>
      <c r="L13" s="1">
        <v>44936</v>
      </c>
    </row>
    <row r="14" spans="1:13" x14ac:dyDescent="0.2">
      <c r="A14">
        <v>1012</v>
      </c>
      <c r="B14" s="1">
        <v>45809</v>
      </c>
      <c r="C14" t="s">
        <v>37</v>
      </c>
      <c r="D14" t="s">
        <v>14</v>
      </c>
      <c r="E14" t="s">
        <v>17</v>
      </c>
      <c r="F14" t="s">
        <v>16</v>
      </c>
      <c r="G14" t="s">
        <v>17</v>
      </c>
      <c r="H14" t="s">
        <v>36</v>
      </c>
      <c r="I14">
        <v>17</v>
      </c>
      <c r="J14">
        <v>1</v>
      </c>
      <c r="K14">
        <v>224000</v>
      </c>
      <c r="L14" s="1">
        <v>45342</v>
      </c>
    </row>
    <row r="15" spans="1:13" x14ac:dyDescent="0.2">
      <c r="A15">
        <v>1013</v>
      </c>
      <c r="B15" s="1">
        <v>45809</v>
      </c>
      <c r="C15" t="s">
        <v>38</v>
      </c>
      <c r="D15" t="s">
        <v>14</v>
      </c>
      <c r="E15" t="s">
        <v>15</v>
      </c>
      <c r="F15" t="s">
        <v>22</v>
      </c>
      <c r="G15" t="s">
        <v>17</v>
      </c>
      <c r="H15" t="s">
        <v>36</v>
      </c>
      <c r="I15">
        <v>17</v>
      </c>
      <c r="J15">
        <v>1</v>
      </c>
      <c r="K15">
        <v>253000</v>
      </c>
      <c r="L15" s="1">
        <v>43845</v>
      </c>
    </row>
    <row r="16" spans="1:13" x14ac:dyDescent="0.2">
      <c r="A16">
        <v>1014</v>
      </c>
      <c r="B16" s="1">
        <v>45809</v>
      </c>
      <c r="C16" t="s">
        <v>39</v>
      </c>
      <c r="D16" t="s">
        <v>14</v>
      </c>
      <c r="E16" t="s">
        <v>15</v>
      </c>
      <c r="F16" t="s">
        <v>16</v>
      </c>
      <c r="G16" t="s">
        <v>17</v>
      </c>
      <c r="H16" t="s">
        <v>40</v>
      </c>
      <c r="I16">
        <v>18</v>
      </c>
      <c r="J16">
        <v>1</v>
      </c>
      <c r="K16">
        <v>250000</v>
      </c>
      <c r="L16" s="1">
        <v>45342</v>
      </c>
    </row>
    <row r="17" spans="1:12" x14ac:dyDescent="0.2">
      <c r="A17">
        <v>1015</v>
      </c>
      <c r="B17" s="1">
        <v>45809</v>
      </c>
      <c r="C17" t="s">
        <v>41</v>
      </c>
      <c r="D17" t="s">
        <v>14</v>
      </c>
      <c r="E17" t="s">
        <v>17</v>
      </c>
      <c r="F17" t="s">
        <v>22</v>
      </c>
      <c r="G17" t="s">
        <v>17</v>
      </c>
      <c r="H17" t="s">
        <v>40</v>
      </c>
      <c r="I17">
        <v>18</v>
      </c>
      <c r="J17">
        <v>1</v>
      </c>
      <c r="K17">
        <v>228000</v>
      </c>
      <c r="L17" s="1">
        <v>44256</v>
      </c>
    </row>
    <row r="18" spans="1:12" x14ac:dyDescent="0.2">
      <c r="A18">
        <v>1016</v>
      </c>
      <c r="B18" s="1">
        <v>45809</v>
      </c>
      <c r="C18" t="s">
        <v>42</v>
      </c>
      <c r="D18" t="s">
        <v>14</v>
      </c>
      <c r="E18" t="s">
        <v>43</v>
      </c>
      <c r="F18" t="s">
        <v>44</v>
      </c>
      <c r="G18" t="s">
        <v>45</v>
      </c>
      <c r="H18" t="s">
        <v>18</v>
      </c>
      <c r="I18">
        <v>13</v>
      </c>
      <c r="J18">
        <v>1</v>
      </c>
      <c r="K18">
        <v>163000</v>
      </c>
      <c r="L18" s="1">
        <v>44936</v>
      </c>
    </row>
    <row r="19" spans="1:12" x14ac:dyDescent="0.2">
      <c r="A19">
        <v>1017</v>
      </c>
      <c r="B19" s="1">
        <v>45809</v>
      </c>
      <c r="C19" t="s">
        <v>46</v>
      </c>
      <c r="D19" t="s">
        <v>14</v>
      </c>
      <c r="E19" t="s">
        <v>47</v>
      </c>
      <c r="F19" t="s">
        <v>44</v>
      </c>
      <c r="G19" t="s">
        <v>45</v>
      </c>
      <c r="H19" t="s">
        <v>18</v>
      </c>
      <c r="I19">
        <v>13</v>
      </c>
      <c r="J19">
        <v>1</v>
      </c>
      <c r="K19">
        <v>146000</v>
      </c>
      <c r="L19" s="1">
        <v>44520</v>
      </c>
    </row>
    <row r="20" spans="1:12" x14ac:dyDescent="0.2">
      <c r="A20">
        <v>1018</v>
      </c>
      <c r="B20" s="1">
        <v>45809</v>
      </c>
      <c r="C20" t="s">
        <v>48</v>
      </c>
      <c r="D20" t="s">
        <v>14</v>
      </c>
      <c r="E20" t="s">
        <v>47</v>
      </c>
      <c r="F20" t="s">
        <v>44</v>
      </c>
      <c r="G20" t="s">
        <v>45</v>
      </c>
      <c r="H20" t="s">
        <v>18</v>
      </c>
      <c r="I20">
        <v>13</v>
      </c>
      <c r="J20">
        <v>0.8</v>
      </c>
      <c r="K20">
        <v>151200</v>
      </c>
      <c r="L20" s="1">
        <v>45601</v>
      </c>
    </row>
    <row r="21" spans="1:12" x14ac:dyDescent="0.2">
      <c r="A21">
        <v>1019</v>
      </c>
      <c r="B21" s="1">
        <v>45809</v>
      </c>
      <c r="C21" t="s">
        <v>49</v>
      </c>
      <c r="D21" t="s">
        <v>14</v>
      </c>
      <c r="E21" t="s">
        <v>45</v>
      </c>
      <c r="F21" t="s">
        <v>44</v>
      </c>
      <c r="G21" t="s">
        <v>45</v>
      </c>
      <c r="H21" t="s">
        <v>23</v>
      </c>
      <c r="I21">
        <v>14</v>
      </c>
      <c r="J21">
        <v>0.6</v>
      </c>
      <c r="K21">
        <v>96600</v>
      </c>
      <c r="L21" s="1">
        <v>44256</v>
      </c>
    </row>
    <row r="22" spans="1:12" x14ac:dyDescent="0.2">
      <c r="A22">
        <v>1020</v>
      </c>
      <c r="B22" s="1">
        <v>45809</v>
      </c>
      <c r="C22" t="s">
        <v>50</v>
      </c>
      <c r="D22" t="s">
        <v>14</v>
      </c>
      <c r="E22" t="s">
        <v>43</v>
      </c>
      <c r="F22" t="s">
        <v>44</v>
      </c>
      <c r="G22" t="s">
        <v>45</v>
      </c>
      <c r="H22" t="s">
        <v>23</v>
      </c>
      <c r="I22">
        <v>14</v>
      </c>
      <c r="J22">
        <v>0.8</v>
      </c>
      <c r="K22">
        <v>151200</v>
      </c>
      <c r="L22" s="1">
        <v>44520</v>
      </c>
    </row>
    <row r="23" spans="1:12" x14ac:dyDescent="0.2">
      <c r="A23">
        <v>1021</v>
      </c>
      <c r="B23" s="1">
        <v>45809</v>
      </c>
      <c r="C23" t="s">
        <v>51</v>
      </c>
      <c r="D23" t="s">
        <v>14</v>
      </c>
      <c r="E23" t="s">
        <v>45</v>
      </c>
      <c r="F23" t="s">
        <v>44</v>
      </c>
      <c r="G23" t="s">
        <v>45</v>
      </c>
      <c r="H23" t="s">
        <v>27</v>
      </c>
      <c r="I23">
        <v>15</v>
      </c>
      <c r="J23">
        <v>0.8</v>
      </c>
      <c r="K23">
        <v>158400</v>
      </c>
      <c r="L23" s="1">
        <v>45342</v>
      </c>
    </row>
    <row r="24" spans="1:12" x14ac:dyDescent="0.2">
      <c r="A24">
        <v>1022</v>
      </c>
      <c r="B24" s="1">
        <v>45809</v>
      </c>
      <c r="C24" t="s">
        <v>52</v>
      </c>
      <c r="D24" t="s">
        <v>14</v>
      </c>
      <c r="E24" t="s">
        <v>47</v>
      </c>
      <c r="F24" t="s">
        <v>44</v>
      </c>
      <c r="G24" t="s">
        <v>45</v>
      </c>
      <c r="H24" t="s">
        <v>27</v>
      </c>
      <c r="I24">
        <v>15</v>
      </c>
      <c r="J24">
        <v>1</v>
      </c>
      <c r="K24">
        <v>185000</v>
      </c>
      <c r="L24" s="1">
        <v>44727</v>
      </c>
    </row>
    <row r="25" spans="1:12" x14ac:dyDescent="0.2">
      <c r="A25">
        <v>1023</v>
      </c>
      <c r="B25" s="1">
        <v>45809</v>
      </c>
      <c r="C25" t="s">
        <v>53</v>
      </c>
      <c r="D25" t="s">
        <v>14</v>
      </c>
      <c r="E25" t="s">
        <v>43</v>
      </c>
      <c r="F25" t="s">
        <v>44</v>
      </c>
      <c r="G25" t="s">
        <v>45</v>
      </c>
      <c r="H25" t="s">
        <v>27</v>
      </c>
      <c r="I25">
        <v>15</v>
      </c>
      <c r="J25">
        <v>1</v>
      </c>
      <c r="K25">
        <v>189000</v>
      </c>
      <c r="L25" s="1">
        <v>43845</v>
      </c>
    </row>
    <row r="26" spans="1:12" x14ac:dyDescent="0.2">
      <c r="A26">
        <v>1024</v>
      </c>
      <c r="B26" s="1">
        <v>45809</v>
      </c>
      <c r="C26" t="s">
        <v>54</v>
      </c>
      <c r="D26" t="s">
        <v>14</v>
      </c>
      <c r="E26" t="s">
        <v>47</v>
      </c>
      <c r="F26" t="s">
        <v>44</v>
      </c>
      <c r="G26" t="s">
        <v>45</v>
      </c>
      <c r="H26" t="s">
        <v>31</v>
      </c>
      <c r="I26">
        <v>16</v>
      </c>
      <c r="J26">
        <v>1</v>
      </c>
      <c r="K26">
        <v>217000</v>
      </c>
      <c r="L26" s="1">
        <v>44727</v>
      </c>
    </row>
    <row r="27" spans="1:12" x14ac:dyDescent="0.2">
      <c r="A27">
        <v>1025</v>
      </c>
      <c r="B27" s="1">
        <v>45809</v>
      </c>
      <c r="C27" t="s">
        <v>55</v>
      </c>
      <c r="D27" t="s">
        <v>14</v>
      </c>
      <c r="E27" t="s">
        <v>47</v>
      </c>
      <c r="F27" t="s">
        <v>44</v>
      </c>
      <c r="G27" t="s">
        <v>45</v>
      </c>
      <c r="H27" t="s">
        <v>31</v>
      </c>
      <c r="I27">
        <v>16</v>
      </c>
      <c r="J27">
        <v>1</v>
      </c>
      <c r="K27">
        <v>176000</v>
      </c>
      <c r="L27" s="1">
        <v>44727</v>
      </c>
    </row>
    <row r="28" spans="1:12" x14ac:dyDescent="0.2">
      <c r="A28">
        <v>1026</v>
      </c>
      <c r="B28" s="1">
        <v>45809</v>
      </c>
      <c r="C28" t="s">
        <v>56</v>
      </c>
      <c r="D28" t="s">
        <v>14</v>
      </c>
      <c r="E28" t="s">
        <v>47</v>
      </c>
      <c r="F28" t="s">
        <v>44</v>
      </c>
      <c r="G28" t="s">
        <v>45</v>
      </c>
      <c r="H28" t="s">
        <v>36</v>
      </c>
      <c r="I28">
        <v>17</v>
      </c>
      <c r="J28">
        <v>1</v>
      </c>
      <c r="K28">
        <v>178000</v>
      </c>
      <c r="L28" s="1">
        <v>45342</v>
      </c>
    </row>
    <row r="29" spans="1:12" x14ac:dyDescent="0.2">
      <c r="A29">
        <v>1027</v>
      </c>
      <c r="B29" s="1">
        <v>45809</v>
      </c>
      <c r="C29" t="s">
        <v>57</v>
      </c>
      <c r="D29" t="s">
        <v>14</v>
      </c>
      <c r="E29" t="s">
        <v>47</v>
      </c>
      <c r="F29" t="s">
        <v>44</v>
      </c>
      <c r="G29" t="s">
        <v>45</v>
      </c>
      <c r="H29" t="s">
        <v>36</v>
      </c>
      <c r="I29">
        <v>17</v>
      </c>
      <c r="J29">
        <v>1</v>
      </c>
      <c r="K29">
        <v>216000</v>
      </c>
      <c r="L29" s="1">
        <v>45342</v>
      </c>
    </row>
    <row r="30" spans="1:12" x14ac:dyDescent="0.2">
      <c r="A30">
        <v>1028</v>
      </c>
      <c r="B30" s="1">
        <v>45809</v>
      </c>
      <c r="C30" t="s">
        <v>58</v>
      </c>
      <c r="D30" t="s">
        <v>14</v>
      </c>
      <c r="E30" t="s">
        <v>45</v>
      </c>
      <c r="F30" t="s">
        <v>44</v>
      </c>
      <c r="G30" t="s">
        <v>45</v>
      </c>
      <c r="H30" t="s">
        <v>36</v>
      </c>
      <c r="I30">
        <v>17</v>
      </c>
      <c r="J30">
        <v>0.3</v>
      </c>
      <c r="K30">
        <v>56100</v>
      </c>
      <c r="L30" s="1">
        <v>44520</v>
      </c>
    </row>
    <row r="31" spans="1:12" x14ac:dyDescent="0.2">
      <c r="A31">
        <v>1029</v>
      </c>
      <c r="B31" s="1">
        <v>45809</v>
      </c>
      <c r="C31" t="s">
        <v>59</v>
      </c>
      <c r="D31" t="s">
        <v>14</v>
      </c>
      <c r="E31" t="s">
        <v>45</v>
      </c>
      <c r="F31" t="s">
        <v>44</v>
      </c>
      <c r="G31" t="s">
        <v>45</v>
      </c>
      <c r="H31" t="s">
        <v>36</v>
      </c>
      <c r="I31">
        <v>17</v>
      </c>
      <c r="J31">
        <v>1</v>
      </c>
      <c r="K31">
        <v>200000</v>
      </c>
      <c r="L31" s="1">
        <v>44256</v>
      </c>
    </row>
    <row r="32" spans="1:12" x14ac:dyDescent="0.2">
      <c r="A32">
        <v>1030</v>
      </c>
      <c r="B32" s="1">
        <v>45809</v>
      </c>
      <c r="C32" t="s">
        <v>60</v>
      </c>
      <c r="D32" t="s">
        <v>14</v>
      </c>
      <c r="E32" t="s">
        <v>61</v>
      </c>
      <c r="F32" t="s">
        <v>44</v>
      </c>
      <c r="G32" t="s">
        <v>61</v>
      </c>
      <c r="H32" t="s">
        <v>18</v>
      </c>
      <c r="I32">
        <v>13</v>
      </c>
      <c r="J32">
        <v>0.5</v>
      </c>
      <c r="K32">
        <v>71000</v>
      </c>
      <c r="L32" s="1">
        <v>44727</v>
      </c>
    </row>
    <row r="33" spans="1:12" x14ac:dyDescent="0.2">
      <c r="A33">
        <v>1031</v>
      </c>
      <c r="B33" s="1">
        <v>45809</v>
      </c>
      <c r="C33" t="s">
        <v>62</v>
      </c>
      <c r="D33" t="s">
        <v>14</v>
      </c>
      <c r="E33" t="s">
        <v>61</v>
      </c>
      <c r="F33" t="s">
        <v>44</v>
      </c>
      <c r="G33" t="s">
        <v>61</v>
      </c>
      <c r="H33" t="s">
        <v>18</v>
      </c>
      <c r="I33">
        <v>13</v>
      </c>
      <c r="J33">
        <v>0.5</v>
      </c>
      <c r="K33">
        <v>76000</v>
      </c>
      <c r="L33" s="1">
        <v>45601</v>
      </c>
    </row>
    <row r="34" spans="1:12" x14ac:dyDescent="0.2">
      <c r="A34">
        <v>1032</v>
      </c>
      <c r="B34" s="1">
        <v>45809</v>
      </c>
      <c r="C34" t="s">
        <v>63</v>
      </c>
      <c r="D34" t="s">
        <v>14</v>
      </c>
      <c r="E34" t="s">
        <v>61</v>
      </c>
      <c r="F34" t="s">
        <v>44</v>
      </c>
      <c r="G34" t="s">
        <v>61</v>
      </c>
      <c r="H34" t="s">
        <v>23</v>
      </c>
      <c r="I34">
        <v>14</v>
      </c>
      <c r="J34">
        <v>1</v>
      </c>
      <c r="K34">
        <v>179000</v>
      </c>
      <c r="L34" s="1">
        <v>44727</v>
      </c>
    </row>
    <row r="35" spans="1:12" x14ac:dyDescent="0.2">
      <c r="A35">
        <v>1033</v>
      </c>
      <c r="B35" s="1">
        <v>45809</v>
      </c>
      <c r="C35" t="s">
        <v>64</v>
      </c>
      <c r="D35" t="s">
        <v>14</v>
      </c>
      <c r="E35" t="s">
        <v>61</v>
      </c>
      <c r="F35" t="s">
        <v>44</v>
      </c>
      <c r="G35" t="s">
        <v>61</v>
      </c>
      <c r="H35" t="s">
        <v>23</v>
      </c>
      <c r="I35">
        <v>14</v>
      </c>
      <c r="J35">
        <v>1</v>
      </c>
      <c r="K35">
        <v>145000</v>
      </c>
      <c r="L35" s="1">
        <v>43845</v>
      </c>
    </row>
    <row r="36" spans="1:12" x14ac:dyDescent="0.2">
      <c r="A36">
        <v>1034</v>
      </c>
      <c r="B36" s="1">
        <v>45809</v>
      </c>
      <c r="C36" t="s">
        <v>65</v>
      </c>
      <c r="D36" t="s">
        <v>14</v>
      </c>
      <c r="E36" t="s">
        <v>61</v>
      </c>
      <c r="F36" t="s">
        <v>44</v>
      </c>
      <c r="G36" t="s">
        <v>61</v>
      </c>
      <c r="H36" t="s">
        <v>23</v>
      </c>
      <c r="I36">
        <v>14</v>
      </c>
      <c r="J36">
        <v>1</v>
      </c>
      <c r="K36">
        <v>167000</v>
      </c>
      <c r="L36" s="1">
        <v>44256</v>
      </c>
    </row>
    <row r="37" spans="1:12" x14ac:dyDescent="0.2">
      <c r="A37">
        <v>1035</v>
      </c>
      <c r="B37" s="1">
        <v>45809</v>
      </c>
      <c r="C37" t="s">
        <v>66</v>
      </c>
      <c r="D37" t="s">
        <v>14</v>
      </c>
      <c r="E37" t="s">
        <v>61</v>
      </c>
      <c r="F37" t="s">
        <v>44</v>
      </c>
      <c r="G37" t="s">
        <v>61</v>
      </c>
      <c r="H37" t="s">
        <v>27</v>
      </c>
      <c r="I37">
        <v>15</v>
      </c>
      <c r="J37">
        <v>1</v>
      </c>
      <c r="K37">
        <v>185000</v>
      </c>
      <c r="L37" s="1">
        <v>44256</v>
      </c>
    </row>
    <row r="38" spans="1:12" x14ac:dyDescent="0.2">
      <c r="A38">
        <v>1036</v>
      </c>
      <c r="B38" s="1">
        <v>45809</v>
      </c>
      <c r="C38" t="s">
        <v>67</v>
      </c>
      <c r="D38" t="s">
        <v>14</v>
      </c>
      <c r="E38" t="s">
        <v>61</v>
      </c>
      <c r="F38" t="s">
        <v>44</v>
      </c>
      <c r="G38" t="s">
        <v>61</v>
      </c>
      <c r="H38" t="s">
        <v>27</v>
      </c>
      <c r="I38">
        <v>15</v>
      </c>
      <c r="J38">
        <v>1</v>
      </c>
      <c r="K38">
        <v>152000</v>
      </c>
      <c r="L38" s="1">
        <v>45170</v>
      </c>
    </row>
    <row r="39" spans="1:12" x14ac:dyDescent="0.2">
      <c r="A39">
        <v>1037</v>
      </c>
      <c r="B39" s="1">
        <v>45809</v>
      </c>
      <c r="C39" t="s">
        <v>68</v>
      </c>
      <c r="D39" t="s">
        <v>14</v>
      </c>
      <c r="E39" t="s">
        <v>61</v>
      </c>
      <c r="F39" t="s">
        <v>44</v>
      </c>
      <c r="G39" t="s">
        <v>61</v>
      </c>
      <c r="H39" t="s">
        <v>27</v>
      </c>
      <c r="I39">
        <v>15</v>
      </c>
      <c r="J39">
        <v>1</v>
      </c>
      <c r="K39">
        <v>187000</v>
      </c>
      <c r="L39" s="1">
        <v>45342</v>
      </c>
    </row>
    <row r="40" spans="1:12" x14ac:dyDescent="0.2">
      <c r="A40">
        <v>1038</v>
      </c>
      <c r="B40" s="1">
        <v>45809</v>
      </c>
      <c r="C40" t="s">
        <v>69</v>
      </c>
      <c r="D40" t="s">
        <v>14</v>
      </c>
      <c r="E40" t="s">
        <v>61</v>
      </c>
      <c r="F40" t="s">
        <v>44</v>
      </c>
      <c r="G40" t="s">
        <v>61</v>
      </c>
      <c r="H40" t="s">
        <v>31</v>
      </c>
      <c r="I40">
        <v>16</v>
      </c>
      <c r="J40">
        <v>1</v>
      </c>
      <c r="K40">
        <v>209000</v>
      </c>
      <c r="L40" s="1">
        <v>45601</v>
      </c>
    </row>
    <row r="41" spans="1:12" x14ac:dyDescent="0.2">
      <c r="A41">
        <v>1039</v>
      </c>
      <c r="B41" s="1">
        <v>45809</v>
      </c>
      <c r="C41" t="s">
        <v>70</v>
      </c>
      <c r="D41" t="s">
        <v>14</v>
      </c>
      <c r="E41" t="s">
        <v>61</v>
      </c>
      <c r="F41" t="s">
        <v>44</v>
      </c>
      <c r="G41" t="s">
        <v>61</v>
      </c>
      <c r="H41" t="s">
        <v>31</v>
      </c>
      <c r="I41">
        <v>16</v>
      </c>
      <c r="J41">
        <v>1</v>
      </c>
      <c r="K41">
        <v>169000</v>
      </c>
      <c r="L41" s="1">
        <v>45170</v>
      </c>
    </row>
    <row r="42" spans="1:12" x14ac:dyDescent="0.2">
      <c r="A42">
        <v>1040</v>
      </c>
      <c r="B42" s="1">
        <v>45809</v>
      </c>
      <c r="C42" t="s">
        <v>71</v>
      </c>
      <c r="D42" t="s">
        <v>14</v>
      </c>
      <c r="E42" t="s">
        <v>61</v>
      </c>
      <c r="F42" t="s">
        <v>44</v>
      </c>
      <c r="G42" t="s">
        <v>61</v>
      </c>
      <c r="H42" t="s">
        <v>31</v>
      </c>
      <c r="I42">
        <v>16</v>
      </c>
      <c r="J42">
        <v>0.6</v>
      </c>
      <c r="K42">
        <v>103800</v>
      </c>
      <c r="L42" s="1">
        <v>43845</v>
      </c>
    </row>
    <row r="43" spans="1:12" x14ac:dyDescent="0.2">
      <c r="A43">
        <v>1041</v>
      </c>
      <c r="B43" s="1">
        <v>45809</v>
      </c>
      <c r="C43" t="s">
        <v>72</v>
      </c>
      <c r="D43" t="s">
        <v>14</v>
      </c>
      <c r="E43" t="s">
        <v>61</v>
      </c>
      <c r="F43" t="s">
        <v>44</v>
      </c>
      <c r="G43" t="s">
        <v>61</v>
      </c>
      <c r="H43" t="s">
        <v>36</v>
      </c>
      <c r="I43">
        <v>17</v>
      </c>
      <c r="J43">
        <v>0.5</v>
      </c>
      <c r="K43">
        <v>90000</v>
      </c>
      <c r="L43" s="1">
        <v>44936</v>
      </c>
    </row>
    <row r="44" spans="1:12" x14ac:dyDescent="0.2">
      <c r="A44">
        <v>1042</v>
      </c>
      <c r="B44" s="1">
        <v>45809</v>
      </c>
      <c r="C44" t="s">
        <v>73</v>
      </c>
      <c r="D44" t="s">
        <v>14</v>
      </c>
      <c r="E44" t="s">
        <v>61</v>
      </c>
      <c r="F44" t="s">
        <v>44</v>
      </c>
      <c r="G44" t="s">
        <v>61</v>
      </c>
      <c r="H44" t="s">
        <v>36</v>
      </c>
      <c r="I44">
        <v>17</v>
      </c>
      <c r="J44">
        <v>1</v>
      </c>
      <c r="K44">
        <v>207000</v>
      </c>
      <c r="L44" s="1">
        <v>45601</v>
      </c>
    </row>
    <row r="45" spans="1:12" x14ac:dyDescent="0.2">
      <c r="A45">
        <v>1043</v>
      </c>
      <c r="B45" s="1">
        <v>45809</v>
      </c>
      <c r="C45" t="s">
        <v>74</v>
      </c>
      <c r="D45" t="s">
        <v>14</v>
      </c>
      <c r="E45" t="s">
        <v>61</v>
      </c>
      <c r="F45" t="s">
        <v>44</v>
      </c>
      <c r="G45" t="s">
        <v>61</v>
      </c>
      <c r="H45" t="s">
        <v>36</v>
      </c>
      <c r="I45">
        <v>17</v>
      </c>
      <c r="J45">
        <v>0.3</v>
      </c>
      <c r="K45">
        <v>51000</v>
      </c>
      <c r="L45" s="1">
        <v>43845</v>
      </c>
    </row>
    <row r="46" spans="1:12" x14ac:dyDescent="0.2">
      <c r="A46">
        <v>1044</v>
      </c>
      <c r="B46" s="1">
        <v>45809</v>
      </c>
      <c r="C46" t="s">
        <v>75</v>
      </c>
      <c r="D46" t="s">
        <v>14</v>
      </c>
      <c r="E46" t="s">
        <v>61</v>
      </c>
      <c r="F46" t="s">
        <v>44</v>
      </c>
      <c r="G46" t="s">
        <v>61</v>
      </c>
      <c r="H46" t="s">
        <v>40</v>
      </c>
      <c r="I46">
        <v>18</v>
      </c>
      <c r="J46">
        <v>0.6</v>
      </c>
      <c r="K46">
        <v>109200</v>
      </c>
      <c r="L46" s="1">
        <v>43845</v>
      </c>
    </row>
    <row r="47" spans="1:12" x14ac:dyDescent="0.2">
      <c r="A47">
        <v>1045</v>
      </c>
      <c r="B47" s="1">
        <v>45809</v>
      </c>
      <c r="C47" t="s">
        <v>76</v>
      </c>
      <c r="D47" t="s">
        <v>14</v>
      </c>
      <c r="E47" t="s">
        <v>61</v>
      </c>
      <c r="F47" t="s">
        <v>44</v>
      </c>
      <c r="G47" t="s">
        <v>61</v>
      </c>
      <c r="H47" t="s">
        <v>40</v>
      </c>
      <c r="I47">
        <v>18</v>
      </c>
      <c r="J47">
        <v>1</v>
      </c>
      <c r="K47">
        <v>225000</v>
      </c>
      <c r="L47" s="1">
        <v>45170</v>
      </c>
    </row>
    <row r="48" spans="1:12" x14ac:dyDescent="0.2">
      <c r="A48">
        <v>1046</v>
      </c>
      <c r="B48" s="1">
        <v>45809</v>
      </c>
      <c r="C48" t="s">
        <v>77</v>
      </c>
      <c r="D48" t="s">
        <v>78</v>
      </c>
      <c r="E48" t="s">
        <v>79</v>
      </c>
      <c r="F48" t="s">
        <v>44</v>
      </c>
      <c r="G48" t="s">
        <v>80</v>
      </c>
      <c r="H48" t="s">
        <v>18</v>
      </c>
      <c r="I48">
        <v>13</v>
      </c>
      <c r="J48">
        <v>1</v>
      </c>
      <c r="K48">
        <v>142000</v>
      </c>
      <c r="L48" s="1">
        <v>44727</v>
      </c>
    </row>
    <row r="49" spans="1:12" x14ac:dyDescent="0.2">
      <c r="A49">
        <v>1047</v>
      </c>
      <c r="B49" s="1">
        <v>45809</v>
      </c>
      <c r="C49" t="s">
        <v>81</v>
      </c>
      <c r="D49" t="s">
        <v>78</v>
      </c>
      <c r="E49" t="s">
        <v>79</v>
      </c>
      <c r="F49" t="s">
        <v>44</v>
      </c>
      <c r="G49" t="s">
        <v>80</v>
      </c>
      <c r="H49" t="s">
        <v>18</v>
      </c>
      <c r="I49">
        <v>13</v>
      </c>
      <c r="J49">
        <v>1</v>
      </c>
      <c r="K49">
        <v>144000</v>
      </c>
      <c r="L49" s="1">
        <v>44727</v>
      </c>
    </row>
    <row r="50" spans="1:12" x14ac:dyDescent="0.2">
      <c r="A50">
        <v>1048</v>
      </c>
      <c r="B50" s="1">
        <v>45809</v>
      </c>
      <c r="C50" t="s">
        <v>20</v>
      </c>
      <c r="D50" t="s">
        <v>78</v>
      </c>
      <c r="E50" t="s">
        <v>82</v>
      </c>
      <c r="F50" t="s">
        <v>44</v>
      </c>
      <c r="G50" t="s">
        <v>80</v>
      </c>
      <c r="H50" t="s">
        <v>18</v>
      </c>
      <c r="I50">
        <v>13</v>
      </c>
      <c r="J50">
        <v>0.5</v>
      </c>
      <c r="K50">
        <v>84500</v>
      </c>
      <c r="L50" s="1">
        <v>45170</v>
      </c>
    </row>
    <row r="51" spans="1:12" x14ac:dyDescent="0.2">
      <c r="A51">
        <v>1049</v>
      </c>
      <c r="B51" s="1">
        <v>45809</v>
      </c>
      <c r="C51" t="s">
        <v>83</v>
      </c>
      <c r="D51" t="s">
        <v>78</v>
      </c>
      <c r="E51" t="s">
        <v>82</v>
      </c>
      <c r="F51" t="s">
        <v>44</v>
      </c>
      <c r="G51" t="s">
        <v>80</v>
      </c>
      <c r="H51" t="s">
        <v>23</v>
      </c>
      <c r="I51">
        <v>14</v>
      </c>
      <c r="J51">
        <v>1</v>
      </c>
      <c r="K51">
        <v>174000</v>
      </c>
      <c r="L51" s="1">
        <v>43845</v>
      </c>
    </row>
    <row r="52" spans="1:12" x14ac:dyDescent="0.2">
      <c r="A52">
        <v>1050</v>
      </c>
      <c r="B52" s="1">
        <v>45809</v>
      </c>
      <c r="C52" t="s">
        <v>84</v>
      </c>
      <c r="D52" t="s">
        <v>78</v>
      </c>
      <c r="E52" t="s">
        <v>82</v>
      </c>
      <c r="F52" t="s">
        <v>44</v>
      </c>
      <c r="G52" t="s">
        <v>80</v>
      </c>
      <c r="H52" t="s">
        <v>23</v>
      </c>
      <c r="I52">
        <v>15</v>
      </c>
      <c r="J52">
        <v>1</v>
      </c>
      <c r="K52">
        <v>175000</v>
      </c>
      <c r="L52" s="1">
        <v>44936</v>
      </c>
    </row>
    <row r="53" spans="1:12" x14ac:dyDescent="0.2">
      <c r="A53">
        <v>1051</v>
      </c>
      <c r="B53" s="1">
        <v>45809</v>
      </c>
      <c r="C53" t="s">
        <v>85</v>
      </c>
      <c r="D53" t="s">
        <v>78</v>
      </c>
      <c r="E53" t="s">
        <v>79</v>
      </c>
      <c r="F53" t="s">
        <v>44</v>
      </c>
      <c r="G53" t="s">
        <v>80</v>
      </c>
      <c r="H53" t="s">
        <v>23</v>
      </c>
      <c r="I53">
        <v>14</v>
      </c>
      <c r="J53">
        <v>1</v>
      </c>
      <c r="K53">
        <v>168000</v>
      </c>
      <c r="L53" s="1">
        <v>44936</v>
      </c>
    </row>
    <row r="54" spans="1:12" x14ac:dyDescent="0.2">
      <c r="A54">
        <v>1052</v>
      </c>
      <c r="B54" s="1">
        <v>45809</v>
      </c>
      <c r="C54" t="s">
        <v>86</v>
      </c>
      <c r="D54" t="s">
        <v>78</v>
      </c>
      <c r="E54" t="s">
        <v>79</v>
      </c>
      <c r="F54" t="s">
        <v>44</v>
      </c>
      <c r="G54" t="s">
        <v>80</v>
      </c>
      <c r="H54" t="s">
        <v>23</v>
      </c>
      <c r="I54">
        <v>14</v>
      </c>
      <c r="J54">
        <v>0.6</v>
      </c>
      <c r="K54">
        <v>91800</v>
      </c>
      <c r="L54" s="1">
        <v>43845</v>
      </c>
    </row>
    <row r="55" spans="1:12" x14ac:dyDescent="0.2">
      <c r="A55">
        <v>1053</v>
      </c>
      <c r="B55" s="1">
        <v>45809</v>
      </c>
      <c r="C55" t="s">
        <v>87</v>
      </c>
      <c r="D55" t="s">
        <v>78</v>
      </c>
      <c r="E55" t="s">
        <v>82</v>
      </c>
      <c r="F55" t="s">
        <v>44</v>
      </c>
      <c r="G55" t="s">
        <v>80</v>
      </c>
      <c r="H55" t="s">
        <v>27</v>
      </c>
      <c r="I55">
        <v>15</v>
      </c>
      <c r="J55">
        <v>1</v>
      </c>
      <c r="K55">
        <v>191000</v>
      </c>
      <c r="L55" s="1">
        <v>44256</v>
      </c>
    </row>
    <row r="56" spans="1:12" x14ac:dyDescent="0.2">
      <c r="A56">
        <v>1054</v>
      </c>
      <c r="B56" s="1">
        <v>45809</v>
      </c>
      <c r="C56" t="s">
        <v>88</v>
      </c>
      <c r="D56" t="s">
        <v>78</v>
      </c>
      <c r="E56" t="s">
        <v>82</v>
      </c>
      <c r="F56" t="s">
        <v>44</v>
      </c>
      <c r="G56" t="s">
        <v>80</v>
      </c>
      <c r="H56" t="s">
        <v>27</v>
      </c>
      <c r="I56">
        <v>15</v>
      </c>
      <c r="J56">
        <v>1</v>
      </c>
      <c r="K56">
        <v>182000</v>
      </c>
      <c r="L56" s="1">
        <v>45342</v>
      </c>
    </row>
    <row r="57" spans="1:12" x14ac:dyDescent="0.2">
      <c r="A57">
        <v>1055</v>
      </c>
      <c r="B57" s="1">
        <v>45809</v>
      </c>
      <c r="C57" t="s">
        <v>89</v>
      </c>
      <c r="D57" t="s">
        <v>78</v>
      </c>
      <c r="E57" t="s">
        <v>79</v>
      </c>
      <c r="F57" t="s">
        <v>44</v>
      </c>
      <c r="G57" t="s">
        <v>80</v>
      </c>
      <c r="H57" t="s">
        <v>31</v>
      </c>
      <c r="I57">
        <v>16</v>
      </c>
      <c r="J57">
        <v>1</v>
      </c>
      <c r="K57">
        <v>173000</v>
      </c>
      <c r="L57" s="1">
        <v>45342</v>
      </c>
    </row>
    <row r="58" spans="1:12" x14ac:dyDescent="0.2">
      <c r="A58">
        <v>1056</v>
      </c>
      <c r="B58" s="1">
        <v>45809</v>
      </c>
      <c r="C58" t="s">
        <v>90</v>
      </c>
      <c r="D58" t="s">
        <v>78</v>
      </c>
      <c r="E58" t="s">
        <v>79</v>
      </c>
      <c r="F58" t="s">
        <v>44</v>
      </c>
      <c r="G58" t="s">
        <v>80</v>
      </c>
      <c r="H58" t="s">
        <v>31</v>
      </c>
      <c r="I58">
        <v>16</v>
      </c>
      <c r="J58">
        <v>0.6</v>
      </c>
      <c r="K58">
        <v>109200</v>
      </c>
      <c r="L58" s="1">
        <v>44936</v>
      </c>
    </row>
    <row r="59" spans="1:12" x14ac:dyDescent="0.2">
      <c r="A59">
        <v>1057</v>
      </c>
      <c r="B59" s="1">
        <v>45809</v>
      </c>
      <c r="C59" t="s">
        <v>91</v>
      </c>
      <c r="D59" t="s">
        <v>78</v>
      </c>
      <c r="E59" t="s">
        <v>80</v>
      </c>
      <c r="F59" t="s">
        <v>44</v>
      </c>
      <c r="G59" t="s">
        <v>80</v>
      </c>
      <c r="H59" t="s">
        <v>31</v>
      </c>
      <c r="I59">
        <v>16</v>
      </c>
      <c r="J59">
        <v>1</v>
      </c>
      <c r="K59">
        <v>186000</v>
      </c>
      <c r="L59" s="1">
        <v>45342</v>
      </c>
    </row>
    <row r="60" spans="1:12" x14ac:dyDescent="0.2">
      <c r="A60">
        <v>1058</v>
      </c>
      <c r="B60" s="1">
        <v>45809</v>
      </c>
      <c r="C60" t="s">
        <v>92</v>
      </c>
      <c r="D60" t="s">
        <v>78</v>
      </c>
      <c r="E60" t="s">
        <v>82</v>
      </c>
      <c r="F60" t="s">
        <v>44</v>
      </c>
      <c r="G60" t="s">
        <v>80</v>
      </c>
      <c r="H60" t="s">
        <v>36</v>
      </c>
      <c r="I60">
        <v>17</v>
      </c>
      <c r="J60">
        <v>1</v>
      </c>
      <c r="K60">
        <v>174000</v>
      </c>
      <c r="L60" s="1">
        <v>44936</v>
      </c>
    </row>
    <row r="61" spans="1:12" x14ac:dyDescent="0.2">
      <c r="A61">
        <v>1059</v>
      </c>
      <c r="B61" s="1">
        <v>45809</v>
      </c>
      <c r="C61" t="s">
        <v>93</v>
      </c>
      <c r="D61" t="s">
        <v>78</v>
      </c>
      <c r="E61" t="s">
        <v>80</v>
      </c>
      <c r="F61" t="s">
        <v>44</v>
      </c>
      <c r="G61" t="s">
        <v>80</v>
      </c>
      <c r="H61" t="s">
        <v>36</v>
      </c>
      <c r="I61">
        <v>17</v>
      </c>
      <c r="J61">
        <v>1</v>
      </c>
      <c r="K61">
        <v>189000</v>
      </c>
      <c r="L61" s="1">
        <v>45601</v>
      </c>
    </row>
    <row r="62" spans="1:12" x14ac:dyDescent="0.2">
      <c r="A62">
        <v>1060</v>
      </c>
      <c r="B62" s="1">
        <v>45809</v>
      </c>
      <c r="C62" t="s">
        <v>94</v>
      </c>
      <c r="D62" t="s">
        <v>78</v>
      </c>
      <c r="E62" t="s">
        <v>82</v>
      </c>
      <c r="F62" t="s">
        <v>44</v>
      </c>
      <c r="G62" t="s">
        <v>80</v>
      </c>
      <c r="H62" t="s">
        <v>36</v>
      </c>
      <c r="I62">
        <v>17</v>
      </c>
      <c r="J62">
        <v>1</v>
      </c>
      <c r="K62">
        <v>186000</v>
      </c>
      <c r="L62" s="1">
        <v>44936</v>
      </c>
    </row>
    <row r="63" spans="1:12" x14ac:dyDescent="0.2">
      <c r="A63">
        <v>1061</v>
      </c>
      <c r="B63" s="1">
        <v>45809</v>
      </c>
      <c r="C63" t="s">
        <v>95</v>
      </c>
      <c r="D63" t="s">
        <v>78</v>
      </c>
      <c r="E63" t="s">
        <v>80</v>
      </c>
      <c r="F63" t="s">
        <v>44</v>
      </c>
      <c r="G63" t="s">
        <v>80</v>
      </c>
      <c r="H63" t="s">
        <v>36</v>
      </c>
      <c r="I63">
        <v>17</v>
      </c>
      <c r="J63">
        <v>1</v>
      </c>
      <c r="K63">
        <v>210000</v>
      </c>
      <c r="L63" s="1">
        <v>44727</v>
      </c>
    </row>
    <row r="64" spans="1:12" x14ac:dyDescent="0.2">
      <c r="A64">
        <v>1062</v>
      </c>
      <c r="B64" s="1">
        <v>45809</v>
      </c>
      <c r="C64" t="s">
        <v>96</v>
      </c>
      <c r="D64" t="s">
        <v>78</v>
      </c>
      <c r="E64" t="s">
        <v>97</v>
      </c>
      <c r="F64" t="s">
        <v>44</v>
      </c>
      <c r="G64" t="s">
        <v>97</v>
      </c>
      <c r="H64" t="s">
        <v>23</v>
      </c>
      <c r="I64">
        <v>14</v>
      </c>
      <c r="J64">
        <v>1</v>
      </c>
      <c r="K64">
        <v>140000</v>
      </c>
      <c r="L64" s="1">
        <v>45601</v>
      </c>
    </row>
    <row r="65" spans="1:12" x14ac:dyDescent="0.2">
      <c r="A65">
        <v>1063</v>
      </c>
      <c r="B65" s="1">
        <v>45809</v>
      </c>
      <c r="C65" t="s">
        <v>98</v>
      </c>
      <c r="D65" t="s">
        <v>78</v>
      </c>
      <c r="E65" t="s">
        <v>97</v>
      </c>
      <c r="F65" t="s">
        <v>44</v>
      </c>
      <c r="G65" t="s">
        <v>97</v>
      </c>
      <c r="H65" t="s">
        <v>23</v>
      </c>
      <c r="I65">
        <v>14</v>
      </c>
      <c r="J65">
        <v>0.8</v>
      </c>
      <c r="K65">
        <v>110400</v>
      </c>
      <c r="L65" s="1">
        <v>45342</v>
      </c>
    </row>
    <row r="66" spans="1:12" x14ac:dyDescent="0.2">
      <c r="A66">
        <v>1064</v>
      </c>
      <c r="B66" s="1">
        <v>45809</v>
      </c>
      <c r="C66" t="s">
        <v>99</v>
      </c>
      <c r="D66" t="s">
        <v>78</v>
      </c>
      <c r="E66" t="s">
        <v>97</v>
      </c>
      <c r="F66" t="s">
        <v>44</v>
      </c>
      <c r="G66" t="s">
        <v>97</v>
      </c>
      <c r="H66" t="s">
        <v>23</v>
      </c>
      <c r="I66">
        <v>14</v>
      </c>
      <c r="J66">
        <v>1</v>
      </c>
      <c r="K66">
        <v>161000</v>
      </c>
      <c r="L66" s="1">
        <v>44727</v>
      </c>
    </row>
    <row r="67" spans="1:12" x14ac:dyDescent="0.2">
      <c r="A67">
        <v>1065</v>
      </c>
      <c r="B67" s="1">
        <v>45809</v>
      </c>
      <c r="C67" t="s">
        <v>100</v>
      </c>
      <c r="D67" t="s">
        <v>78</v>
      </c>
      <c r="E67" t="s">
        <v>97</v>
      </c>
      <c r="F67" t="s">
        <v>44</v>
      </c>
      <c r="G67" t="s">
        <v>97</v>
      </c>
      <c r="H67" t="s">
        <v>27</v>
      </c>
      <c r="I67">
        <v>15</v>
      </c>
      <c r="J67">
        <v>1</v>
      </c>
      <c r="K67">
        <v>148000</v>
      </c>
      <c r="L67" s="1">
        <v>44520</v>
      </c>
    </row>
    <row r="68" spans="1:12" x14ac:dyDescent="0.2">
      <c r="A68">
        <v>1066</v>
      </c>
      <c r="B68" s="1">
        <v>45809</v>
      </c>
      <c r="C68" t="s">
        <v>101</v>
      </c>
      <c r="D68" t="s">
        <v>78</v>
      </c>
      <c r="E68" t="s">
        <v>97</v>
      </c>
      <c r="F68" t="s">
        <v>44</v>
      </c>
      <c r="G68" t="s">
        <v>97</v>
      </c>
      <c r="H68" t="s">
        <v>27</v>
      </c>
      <c r="I68">
        <v>15</v>
      </c>
      <c r="J68">
        <v>1</v>
      </c>
      <c r="K68">
        <v>183000</v>
      </c>
      <c r="L68" s="1">
        <v>45342</v>
      </c>
    </row>
    <row r="69" spans="1:12" x14ac:dyDescent="0.2">
      <c r="A69">
        <v>1067</v>
      </c>
      <c r="B69" s="1">
        <v>45809</v>
      </c>
      <c r="C69" t="s">
        <v>68</v>
      </c>
      <c r="D69" t="s">
        <v>78</v>
      </c>
      <c r="E69" t="s">
        <v>97</v>
      </c>
      <c r="F69" t="s">
        <v>44</v>
      </c>
      <c r="G69" t="s">
        <v>97</v>
      </c>
      <c r="H69" t="s">
        <v>27</v>
      </c>
      <c r="I69">
        <v>15</v>
      </c>
      <c r="J69">
        <v>0.75</v>
      </c>
      <c r="K69">
        <v>118500</v>
      </c>
      <c r="L69" s="1">
        <v>45601</v>
      </c>
    </row>
    <row r="70" spans="1:12" x14ac:dyDescent="0.2">
      <c r="A70">
        <v>1068</v>
      </c>
      <c r="B70" s="1">
        <v>45809</v>
      </c>
      <c r="C70" t="s">
        <v>102</v>
      </c>
      <c r="D70" t="s">
        <v>78</v>
      </c>
      <c r="E70" t="s">
        <v>97</v>
      </c>
      <c r="F70" t="s">
        <v>44</v>
      </c>
      <c r="G70" t="s">
        <v>97</v>
      </c>
      <c r="H70" t="s">
        <v>31</v>
      </c>
      <c r="I70">
        <v>16</v>
      </c>
      <c r="J70">
        <v>1</v>
      </c>
      <c r="K70">
        <v>179000</v>
      </c>
      <c r="L70" s="1">
        <v>45170</v>
      </c>
    </row>
    <row r="71" spans="1:12" x14ac:dyDescent="0.2">
      <c r="A71">
        <v>1069</v>
      </c>
      <c r="B71" s="1">
        <v>45809</v>
      </c>
      <c r="C71" t="s">
        <v>66</v>
      </c>
      <c r="D71" t="s">
        <v>78</v>
      </c>
      <c r="E71" t="s">
        <v>97</v>
      </c>
      <c r="F71" t="s">
        <v>44</v>
      </c>
      <c r="G71" t="s">
        <v>97</v>
      </c>
      <c r="H71" t="s">
        <v>31</v>
      </c>
      <c r="I71">
        <v>16</v>
      </c>
      <c r="J71">
        <v>0.3</v>
      </c>
      <c r="K71">
        <v>45000</v>
      </c>
      <c r="L71" s="1">
        <v>44520</v>
      </c>
    </row>
    <row r="72" spans="1:12" x14ac:dyDescent="0.2">
      <c r="A72">
        <v>1070</v>
      </c>
      <c r="B72" s="1">
        <v>45809</v>
      </c>
      <c r="C72" t="s">
        <v>75</v>
      </c>
      <c r="D72" t="s">
        <v>78</v>
      </c>
      <c r="E72" t="s">
        <v>97</v>
      </c>
      <c r="F72" t="s">
        <v>44</v>
      </c>
      <c r="G72" t="s">
        <v>97</v>
      </c>
      <c r="H72" t="s">
        <v>31</v>
      </c>
      <c r="I72">
        <v>16</v>
      </c>
      <c r="J72">
        <v>1</v>
      </c>
      <c r="K72">
        <v>163000</v>
      </c>
      <c r="L72" s="1">
        <v>43845</v>
      </c>
    </row>
    <row r="73" spans="1:12" x14ac:dyDescent="0.2">
      <c r="A73">
        <v>1071</v>
      </c>
      <c r="B73" s="1">
        <v>45809</v>
      </c>
      <c r="C73" t="s">
        <v>103</v>
      </c>
      <c r="D73" t="s">
        <v>78</v>
      </c>
      <c r="E73" t="s">
        <v>97</v>
      </c>
      <c r="F73" t="s">
        <v>44</v>
      </c>
      <c r="G73" t="s">
        <v>97</v>
      </c>
      <c r="H73" t="s">
        <v>36</v>
      </c>
      <c r="I73">
        <v>17</v>
      </c>
      <c r="J73">
        <v>1</v>
      </c>
      <c r="K73">
        <v>190000</v>
      </c>
      <c r="L73" s="1">
        <v>45601</v>
      </c>
    </row>
    <row r="74" spans="1:12" x14ac:dyDescent="0.2">
      <c r="A74">
        <v>1072</v>
      </c>
      <c r="B74" s="1">
        <v>45809</v>
      </c>
      <c r="C74" t="s">
        <v>104</v>
      </c>
      <c r="D74" t="s">
        <v>78</v>
      </c>
      <c r="E74" t="s">
        <v>97</v>
      </c>
      <c r="F74" t="s">
        <v>44</v>
      </c>
      <c r="G74" t="s">
        <v>97</v>
      </c>
      <c r="H74" t="s">
        <v>36</v>
      </c>
      <c r="I74">
        <v>17</v>
      </c>
      <c r="J74">
        <v>0.6</v>
      </c>
      <c r="K74">
        <v>113400</v>
      </c>
      <c r="L74" s="1">
        <v>45601</v>
      </c>
    </row>
    <row r="75" spans="1:12" x14ac:dyDescent="0.2">
      <c r="A75">
        <v>1073</v>
      </c>
      <c r="B75" s="1">
        <v>45809</v>
      </c>
      <c r="C75" t="s">
        <v>85</v>
      </c>
      <c r="D75" t="s">
        <v>78</v>
      </c>
      <c r="E75" t="s">
        <v>97</v>
      </c>
      <c r="F75" t="s">
        <v>44</v>
      </c>
      <c r="G75" t="s">
        <v>97</v>
      </c>
      <c r="H75" t="s">
        <v>36</v>
      </c>
      <c r="I75">
        <v>17</v>
      </c>
      <c r="J75">
        <v>1</v>
      </c>
      <c r="K75">
        <v>175000</v>
      </c>
      <c r="L75" s="1">
        <v>45342</v>
      </c>
    </row>
    <row r="76" spans="1:12" x14ac:dyDescent="0.2">
      <c r="A76">
        <v>1074</v>
      </c>
      <c r="B76" s="1">
        <v>45809</v>
      </c>
      <c r="C76" t="s">
        <v>105</v>
      </c>
      <c r="D76" t="s">
        <v>106</v>
      </c>
      <c r="E76" t="s">
        <v>107</v>
      </c>
      <c r="F76" t="s">
        <v>44</v>
      </c>
      <c r="G76" t="s">
        <v>107</v>
      </c>
      <c r="H76" t="s">
        <v>108</v>
      </c>
      <c r="I76">
        <v>12</v>
      </c>
      <c r="J76">
        <v>0.8</v>
      </c>
      <c r="K76">
        <v>98400</v>
      </c>
      <c r="L76" s="1">
        <v>44256</v>
      </c>
    </row>
    <row r="77" spans="1:12" x14ac:dyDescent="0.2">
      <c r="A77">
        <v>1075</v>
      </c>
      <c r="B77" s="1">
        <v>45809</v>
      </c>
      <c r="C77" t="s">
        <v>109</v>
      </c>
      <c r="D77" t="s">
        <v>106</v>
      </c>
      <c r="E77" t="s">
        <v>107</v>
      </c>
      <c r="F77" t="s">
        <v>44</v>
      </c>
      <c r="G77" t="s">
        <v>107</v>
      </c>
      <c r="H77" t="s">
        <v>108</v>
      </c>
      <c r="I77">
        <v>12</v>
      </c>
      <c r="J77">
        <v>1</v>
      </c>
      <c r="K77">
        <v>121000</v>
      </c>
      <c r="L77" s="1">
        <v>45342</v>
      </c>
    </row>
    <row r="78" spans="1:12" x14ac:dyDescent="0.2">
      <c r="A78">
        <v>1076</v>
      </c>
      <c r="B78" s="1">
        <v>45809</v>
      </c>
      <c r="C78" t="s">
        <v>110</v>
      </c>
      <c r="D78" t="s">
        <v>106</v>
      </c>
      <c r="E78" t="s">
        <v>107</v>
      </c>
      <c r="F78" t="s">
        <v>44</v>
      </c>
      <c r="G78" t="s">
        <v>107</v>
      </c>
      <c r="H78" t="s">
        <v>108</v>
      </c>
      <c r="I78">
        <v>12</v>
      </c>
      <c r="J78">
        <v>1</v>
      </c>
      <c r="K78">
        <v>116000</v>
      </c>
      <c r="L78" s="1">
        <v>45342</v>
      </c>
    </row>
    <row r="79" spans="1:12" x14ac:dyDescent="0.2">
      <c r="A79">
        <v>1077</v>
      </c>
      <c r="B79" s="1">
        <v>45809</v>
      </c>
      <c r="C79" t="s">
        <v>111</v>
      </c>
      <c r="D79" t="s">
        <v>106</v>
      </c>
      <c r="E79" t="s">
        <v>107</v>
      </c>
      <c r="F79" t="s">
        <v>44</v>
      </c>
      <c r="G79" t="s">
        <v>107</v>
      </c>
      <c r="H79" t="s">
        <v>18</v>
      </c>
      <c r="I79">
        <v>13</v>
      </c>
      <c r="J79">
        <v>1</v>
      </c>
      <c r="K79">
        <v>140000</v>
      </c>
      <c r="L79" s="1">
        <v>44727</v>
      </c>
    </row>
    <row r="80" spans="1:12" x14ac:dyDescent="0.2">
      <c r="A80">
        <v>1078</v>
      </c>
      <c r="B80" s="1">
        <v>45809</v>
      </c>
      <c r="C80" t="s">
        <v>112</v>
      </c>
      <c r="D80" t="s">
        <v>106</v>
      </c>
      <c r="E80" t="s">
        <v>107</v>
      </c>
      <c r="F80" t="s">
        <v>44</v>
      </c>
      <c r="G80" t="s">
        <v>107</v>
      </c>
      <c r="H80" t="s">
        <v>18</v>
      </c>
      <c r="I80">
        <v>13</v>
      </c>
      <c r="J80">
        <v>0.3</v>
      </c>
      <c r="K80">
        <v>42000</v>
      </c>
      <c r="L80" s="1">
        <v>43845</v>
      </c>
    </row>
    <row r="81" spans="1:12" x14ac:dyDescent="0.2">
      <c r="A81">
        <v>1079</v>
      </c>
      <c r="B81" s="1">
        <v>45809</v>
      </c>
      <c r="C81" t="s">
        <v>113</v>
      </c>
      <c r="D81" t="s">
        <v>106</v>
      </c>
      <c r="E81" t="s">
        <v>107</v>
      </c>
      <c r="F81" t="s">
        <v>44</v>
      </c>
      <c r="G81" t="s">
        <v>107</v>
      </c>
      <c r="H81" t="s">
        <v>18</v>
      </c>
      <c r="I81">
        <v>13</v>
      </c>
      <c r="J81">
        <v>1</v>
      </c>
      <c r="K81">
        <v>129000</v>
      </c>
      <c r="L81" s="1">
        <v>45601</v>
      </c>
    </row>
    <row r="82" spans="1:12" x14ac:dyDescent="0.2">
      <c r="A82">
        <v>1080</v>
      </c>
      <c r="B82" s="1">
        <v>45809</v>
      </c>
      <c r="C82" t="s">
        <v>114</v>
      </c>
      <c r="D82" t="s">
        <v>106</v>
      </c>
      <c r="E82" t="s">
        <v>107</v>
      </c>
      <c r="F82" t="s">
        <v>44</v>
      </c>
      <c r="G82" t="s">
        <v>107</v>
      </c>
      <c r="H82" t="s">
        <v>23</v>
      </c>
      <c r="I82">
        <v>14</v>
      </c>
      <c r="J82">
        <v>1</v>
      </c>
      <c r="K82">
        <v>142000</v>
      </c>
      <c r="L82" s="1">
        <v>44936</v>
      </c>
    </row>
    <row r="83" spans="1:12" x14ac:dyDescent="0.2">
      <c r="A83">
        <v>1081</v>
      </c>
      <c r="B83" s="1">
        <v>45809</v>
      </c>
      <c r="C83" t="s">
        <v>115</v>
      </c>
      <c r="D83" t="s">
        <v>106</v>
      </c>
      <c r="E83" t="s">
        <v>107</v>
      </c>
      <c r="F83" t="s">
        <v>44</v>
      </c>
      <c r="G83" t="s">
        <v>107</v>
      </c>
      <c r="H83" t="s">
        <v>23</v>
      </c>
      <c r="I83">
        <v>14</v>
      </c>
      <c r="J83">
        <v>1</v>
      </c>
      <c r="K83">
        <v>155000</v>
      </c>
      <c r="L83" s="1">
        <v>44727</v>
      </c>
    </row>
    <row r="84" spans="1:12" x14ac:dyDescent="0.2">
      <c r="A84">
        <v>1082</v>
      </c>
      <c r="B84" s="1">
        <v>45809</v>
      </c>
      <c r="C84" t="s">
        <v>116</v>
      </c>
      <c r="D84" t="s">
        <v>106</v>
      </c>
      <c r="E84" t="s">
        <v>107</v>
      </c>
      <c r="F84" t="s">
        <v>44</v>
      </c>
      <c r="G84" t="s">
        <v>107</v>
      </c>
      <c r="H84" t="s">
        <v>23</v>
      </c>
      <c r="I84">
        <v>14</v>
      </c>
      <c r="J84">
        <v>1</v>
      </c>
      <c r="K84">
        <v>151000</v>
      </c>
      <c r="L84" s="1">
        <v>44936</v>
      </c>
    </row>
    <row r="85" spans="1:12" x14ac:dyDescent="0.2">
      <c r="A85">
        <v>1083</v>
      </c>
      <c r="B85" s="1">
        <v>45809</v>
      </c>
      <c r="C85" t="s">
        <v>117</v>
      </c>
      <c r="D85" t="s">
        <v>106</v>
      </c>
      <c r="E85" t="s">
        <v>107</v>
      </c>
      <c r="F85" t="s">
        <v>44</v>
      </c>
      <c r="G85" t="s">
        <v>107</v>
      </c>
      <c r="H85" t="s">
        <v>27</v>
      </c>
      <c r="I85">
        <v>15</v>
      </c>
      <c r="J85">
        <v>1</v>
      </c>
      <c r="K85">
        <v>141000</v>
      </c>
      <c r="L85" s="1">
        <v>45170</v>
      </c>
    </row>
    <row r="86" spans="1:12" x14ac:dyDescent="0.2">
      <c r="A86">
        <v>1084</v>
      </c>
      <c r="B86" s="1">
        <v>45809</v>
      </c>
      <c r="C86" t="s">
        <v>118</v>
      </c>
      <c r="D86" t="s">
        <v>106</v>
      </c>
      <c r="E86" t="s">
        <v>107</v>
      </c>
      <c r="F86" t="s">
        <v>44</v>
      </c>
      <c r="G86" t="s">
        <v>107</v>
      </c>
      <c r="H86" t="s">
        <v>27</v>
      </c>
      <c r="I86">
        <v>15</v>
      </c>
      <c r="J86">
        <v>0.75</v>
      </c>
      <c r="K86">
        <v>95250</v>
      </c>
      <c r="L86" s="1">
        <v>44520</v>
      </c>
    </row>
    <row r="87" spans="1:12" x14ac:dyDescent="0.2">
      <c r="A87">
        <v>1085</v>
      </c>
      <c r="B87" s="1">
        <v>45809</v>
      </c>
      <c r="C87" t="s">
        <v>119</v>
      </c>
      <c r="D87" t="s">
        <v>106</v>
      </c>
      <c r="E87" t="s">
        <v>107</v>
      </c>
      <c r="F87" t="s">
        <v>44</v>
      </c>
      <c r="G87" t="s">
        <v>107</v>
      </c>
      <c r="H87" t="s">
        <v>31</v>
      </c>
      <c r="I87">
        <v>16</v>
      </c>
      <c r="J87">
        <v>0.6</v>
      </c>
      <c r="K87">
        <v>93600</v>
      </c>
      <c r="L87" s="1">
        <v>45342</v>
      </c>
    </row>
    <row r="88" spans="1:12" x14ac:dyDescent="0.2">
      <c r="A88">
        <v>1086</v>
      </c>
      <c r="B88" s="1">
        <v>45809</v>
      </c>
      <c r="C88" t="s">
        <v>120</v>
      </c>
      <c r="D88" t="s">
        <v>106</v>
      </c>
      <c r="E88" t="s">
        <v>107</v>
      </c>
      <c r="F88" t="s">
        <v>44</v>
      </c>
      <c r="G88" t="s">
        <v>107</v>
      </c>
      <c r="H88" t="s">
        <v>31</v>
      </c>
      <c r="I88">
        <v>16</v>
      </c>
      <c r="J88">
        <v>1</v>
      </c>
      <c r="K88">
        <v>139000</v>
      </c>
      <c r="L88" s="1">
        <v>45601</v>
      </c>
    </row>
    <row r="89" spans="1:12" x14ac:dyDescent="0.2">
      <c r="A89">
        <v>1087</v>
      </c>
      <c r="B89" s="1">
        <v>45809</v>
      </c>
      <c r="C89" t="s">
        <v>85</v>
      </c>
      <c r="D89" t="s">
        <v>106</v>
      </c>
      <c r="E89" t="s">
        <v>107</v>
      </c>
      <c r="F89" t="s">
        <v>44</v>
      </c>
      <c r="G89" t="s">
        <v>107</v>
      </c>
      <c r="H89" t="s">
        <v>31</v>
      </c>
      <c r="I89">
        <v>16</v>
      </c>
      <c r="J89">
        <v>0.8</v>
      </c>
      <c r="K89">
        <v>124800</v>
      </c>
      <c r="L89" s="1">
        <v>43845</v>
      </c>
    </row>
    <row r="90" spans="1:12" x14ac:dyDescent="0.2">
      <c r="A90">
        <v>1088</v>
      </c>
      <c r="B90" s="1">
        <v>45809</v>
      </c>
      <c r="C90" t="s">
        <v>121</v>
      </c>
      <c r="D90" t="s">
        <v>106</v>
      </c>
      <c r="E90" t="s">
        <v>107</v>
      </c>
      <c r="F90" t="s">
        <v>44</v>
      </c>
      <c r="G90" t="s">
        <v>107</v>
      </c>
      <c r="H90" t="s">
        <v>31</v>
      </c>
      <c r="I90">
        <v>16</v>
      </c>
      <c r="J90">
        <v>0.5</v>
      </c>
      <c r="K90">
        <v>75000</v>
      </c>
      <c r="L90" s="1">
        <v>45170</v>
      </c>
    </row>
    <row r="91" spans="1:12" x14ac:dyDescent="0.2">
      <c r="A91">
        <v>1089</v>
      </c>
      <c r="B91" s="1">
        <v>45809</v>
      </c>
      <c r="C91" t="s">
        <v>122</v>
      </c>
      <c r="D91" t="s">
        <v>106</v>
      </c>
      <c r="E91" t="s">
        <v>123</v>
      </c>
      <c r="F91" t="s">
        <v>44</v>
      </c>
      <c r="G91" t="s">
        <v>123</v>
      </c>
      <c r="H91" t="s">
        <v>108</v>
      </c>
      <c r="I91">
        <v>12</v>
      </c>
      <c r="J91">
        <v>1</v>
      </c>
      <c r="K91">
        <v>110000</v>
      </c>
      <c r="L91" s="1">
        <v>44727</v>
      </c>
    </row>
    <row r="92" spans="1:12" x14ac:dyDescent="0.2">
      <c r="A92">
        <v>1090</v>
      </c>
      <c r="B92" s="1">
        <v>45809</v>
      </c>
      <c r="C92" t="s">
        <v>60</v>
      </c>
      <c r="D92" t="s">
        <v>106</v>
      </c>
      <c r="E92" t="s">
        <v>123</v>
      </c>
      <c r="F92" t="s">
        <v>44</v>
      </c>
      <c r="G92" t="s">
        <v>123</v>
      </c>
      <c r="H92" t="s">
        <v>108</v>
      </c>
      <c r="I92">
        <v>12</v>
      </c>
      <c r="J92">
        <v>1</v>
      </c>
      <c r="K92">
        <v>117000</v>
      </c>
      <c r="L92" s="1">
        <v>45601</v>
      </c>
    </row>
    <row r="93" spans="1:12" x14ac:dyDescent="0.2">
      <c r="A93">
        <v>1091</v>
      </c>
      <c r="B93" s="1">
        <v>45809</v>
      </c>
      <c r="C93" t="s">
        <v>95</v>
      </c>
      <c r="D93" t="s">
        <v>106</v>
      </c>
      <c r="E93" t="s">
        <v>123</v>
      </c>
      <c r="F93" t="s">
        <v>44</v>
      </c>
      <c r="G93" t="s">
        <v>123</v>
      </c>
      <c r="H93" t="s">
        <v>108</v>
      </c>
      <c r="I93">
        <v>12</v>
      </c>
      <c r="J93">
        <v>1</v>
      </c>
      <c r="K93">
        <v>100000</v>
      </c>
      <c r="L93" s="1">
        <v>45170</v>
      </c>
    </row>
    <row r="94" spans="1:12" x14ac:dyDescent="0.2">
      <c r="A94">
        <v>1092</v>
      </c>
      <c r="B94" s="1">
        <v>45809</v>
      </c>
      <c r="C94" t="s">
        <v>124</v>
      </c>
      <c r="D94" t="s">
        <v>106</v>
      </c>
      <c r="E94" t="s">
        <v>123</v>
      </c>
      <c r="F94" t="s">
        <v>44</v>
      </c>
      <c r="G94" t="s">
        <v>123</v>
      </c>
      <c r="H94" t="s">
        <v>18</v>
      </c>
      <c r="I94">
        <v>13</v>
      </c>
      <c r="J94">
        <v>1</v>
      </c>
      <c r="K94">
        <v>123000</v>
      </c>
      <c r="L94" s="1">
        <v>45601</v>
      </c>
    </row>
    <row r="95" spans="1:12" x14ac:dyDescent="0.2">
      <c r="A95">
        <v>1093</v>
      </c>
      <c r="B95" s="1">
        <v>45809</v>
      </c>
      <c r="C95" t="s">
        <v>125</v>
      </c>
      <c r="D95" t="s">
        <v>106</v>
      </c>
      <c r="E95" t="s">
        <v>123</v>
      </c>
      <c r="F95" t="s">
        <v>44</v>
      </c>
      <c r="G95" t="s">
        <v>123</v>
      </c>
      <c r="H95" t="s">
        <v>18</v>
      </c>
      <c r="I95">
        <v>13</v>
      </c>
      <c r="J95">
        <v>1</v>
      </c>
      <c r="K95">
        <v>106000</v>
      </c>
      <c r="L95" s="1">
        <v>44256</v>
      </c>
    </row>
    <row r="96" spans="1:12" x14ac:dyDescent="0.2">
      <c r="A96">
        <v>1094</v>
      </c>
      <c r="B96" s="1">
        <v>45809</v>
      </c>
      <c r="C96" t="s">
        <v>126</v>
      </c>
      <c r="D96" t="s">
        <v>106</v>
      </c>
      <c r="E96" t="s">
        <v>123</v>
      </c>
      <c r="F96" t="s">
        <v>44</v>
      </c>
      <c r="G96" t="s">
        <v>123</v>
      </c>
      <c r="H96" t="s">
        <v>18</v>
      </c>
      <c r="I96">
        <v>13</v>
      </c>
      <c r="J96">
        <v>1</v>
      </c>
      <c r="K96">
        <v>123000</v>
      </c>
      <c r="L96" s="1">
        <v>44256</v>
      </c>
    </row>
    <row r="97" spans="1:12" x14ac:dyDescent="0.2">
      <c r="A97">
        <v>1095</v>
      </c>
      <c r="B97" s="1">
        <v>45809</v>
      </c>
      <c r="C97" t="s">
        <v>127</v>
      </c>
      <c r="D97" t="s">
        <v>106</v>
      </c>
      <c r="E97" t="s">
        <v>123</v>
      </c>
      <c r="F97" t="s">
        <v>44</v>
      </c>
      <c r="G97" t="s">
        <v>123</v>
      </c>
      <c r="H97" t="s">
        <v>18</v>
      </c>
      <c r="I97">
        <v>13</v>
      </c>
      <c r="J97">
        <v>1</v>
      </c>
      <c r="K97">
        <v>110000</v>
      </c>
      <c r="L97" s="1">
        <v>44520</v>
      </c>
    </row>
    <row r="98" spans="1:12" x14ac:dyDescent="0.2">
      <c r="A98">
        <v>1096</v>
      </c>
      <c r="B98" s="1">
        <v>45809</v>
      </c>
      <c r="C98" t="s">
        <v>50</v>
      </c>
      <c r="D98" t="s">
        <v>106</v>
      </c>
      <c r="E98" t="s">
        <v>123</v>
      </c>
      <c r="F98" t="s">
        <v>44</v>
      </c>
      <c r="G98" t="s">
        <v>123</v>
      </c>
      <c r="H98" t="s">
        <v>23</v>
      </c>
      <c r="I98">
        <v>14</v>
      </c>
      <c r="J98">
        <v>0.8</v>
      </c>
      <c r="K98">
        <v>92000</v>
      </c>
      <c r="L98" s="1">
        <v>44256</v>
      </c>
    </row>
    <row r="99" spans="1:12" x14ac:dyDescent="0.2">
      <c r="A99">
        <v>1097</v>
      </c>
      <c r="B99" s="1">
        <v>45809</v>
      </c>
      <c r="C99" t="s">
        <v>128</v>
      </c>
      <c r="D99" t="s">
        <v>106</v>
      </c>
      <c r="E99" t="s">
        <v>123</v>
      </c>
      <c r="F99" t="s">
        <v>44</v>
      </c>
      <c r="G99" t="s">
        <v>123</v>
      </c>
      <c r="H99" t="s">
        <v>23</v>
      </c>
      <c r="I99">
        <v>14</v>
      </c>
      <c r="J99">
        <v>1</v>
      </c>
      <c r="K99">
        <v>121000</v>
      </c>
      <c r="L99" s="1">
        <v>44520</v>
      </c>
    </row>
    <row r="100" spans="1:12" x14ac:dyDescent="0.2">
      <c r="A100">
        <v>1098</v>
      </c>
      <c r="B100" s="1">
        <v>45809</v>
      </c>
      <c r="C100" t="s">
        <v>13</v>
      </c>
      <c r="D100" t="s">
        <v>106</v>
      </c>
      <c r="E100" t="s">
        <v>123</v>
      </c>
      <c r="F100" t="s">
        <v>44</v>
      </c>
      <c r="G100" t="s">
        <v>123</v>
      </c>
      <c r="H100" t="s">
        <v>23</v>
      </c>
      <c r="I100">
        <v>14</v>
      </c>
      <c r="J100">
        <v>1</v>
      </c>
      <c r="K100">
        <v>135000</v>
      </c>
      <c r="L100" s="1">
        <v>45342</v>
      </c>
    </row>
    <row r="101" spans="1:12" x14ac:dyDescent="0.2">
      <c r="A101">
        <v>1099</v>
      </c>
      <c r="B101" s="1">
        <v>45809</v>
      </c>
      <c r="C101" t="s">
        <v>129</v>
      </c>
      <c r="D101" t="s">
        <v>106</v>
      </c>
      <c r="E101" t="s">
        <v>123</v>
      </c>
      <c r="F101" t="s">
        <v>44</v>
      </c>
      <c r="G101" t="s">
        <v>123</v>
      </c>
      <c r="H101" t="s">
        <v>27</v>
      </c>
      <c r="I101">
        <v>15</v>
      </c>
      <c r="J101">
        <v>1</v>
      </c>
      <c r="K101">
        <v>135000</v>
      </c>
      <c r="L101" s="1">
        <v>44936</v>
      </c>
    </row>
    <row r="102" spans="1:12" x14ac:dyDescent="0.2">
      <c r="A102">
        <v>1100</v>
      </c>
      <c r="B102" s="1">
        <v>45809</v>
      </c>
      <c r="C102" t="s">
        <v>104</v>
      </c>
      <c r="D102" t="s">
        <v>106</v>
      </c>
      <c r="E102" t="s">
        <v>123</v>
      </c>
      <c r="F102" t="s">
        <v>44</v>
      </c>
      <c r="G102" t="s">
        <v>123</v>
      </c>
      <c r="H102" t="s">
        <v>27</v>
      </c>
      <c r="I102">
        <v>15</v>
      </c>
      <c r="J102">
        <v>0.3</v>
      </c>
      <c r="K102">
        <v>39000</v>
      </c>
      <c r="L102" s="1">
        <v>45342</v>
      </c>
    </row>
    <row r="103" spans="1:12" x14ac:dyDescent="0.2">
      <c r="A103">
        <v>1101</v>
      </c>
      <c r="B103" s="1">
        <v>45809</v>
      </c>
      <c r="C103" t="s">
        <v>130</v>
      </c>
      <c r="D103" t="s">
        <v>106</v>
      </c>
      <c r="E103" t="s">
        <v>123</v>
      </c>
      <c r="F103" t="s">
        <v>44</v>
      </c>
      <c r="G103" t="s">
        <v>123</v>
      </c>
      <c r="H103" t="s">
        <v>27</v>
      </c>
      <c r="I103">
        <v>15</v>
      </c>
      <c r="J103">
        <v>0.6</v>
      </c>
      <c r="K103">
        <v>85200</v>
      </c>
      <c r="L103" s="1">
        <v>43845</v>
      </c>
    </row>
    <row r="104" spans="1:12" x14ac:dyDescent="0.2">
      <c r="A104">
        <v>1102</v>
      </c>
      <c r="B104" s="1">
        <v>45809</v>
      </c>
      <c r="C104" t="s">
        <v>131</v>
      </c>
      <c r="D104" t="s">
        <v>106</v>
      </c>
      <c r="E104" t="s">
        <v>123</v>
      </c>
      <c r="F104" t="s">
        <v>44</v>
      </c>
      <c r="G104" t="s">
        <v>123</v>
      </c>
      <c r="H104" t="s">
        <v>27</v>
      </c>
      <c r="I104">
        <v>15</v>
      </c>
      <c r="J104">
        <v>0.5</v>
      </c>
      <c r="K104">
        <v>66500</v>
      </c>
      <c r="L104" s="1">
        <v>44520</v>
      </c>
    </row>
    <row r="105" spans="1:12" x14ac:dyDescent="0.2">
      <c r="A105">
        <v>1103</v>
      </c>
      <c r="B105" s="1">
        <v>45809</v>
      </c>
      <c r="C105" t="s">
        <v>132</v>
      </c>
      <c r="D105" t="s">
        <v>14</v>
      </c>
      <c r="E105" t="s">
        <v>21</v>
      </c>
      <c r="F105" t="s">
        <v>16</v>
      </c>
      <c r="G105" t="s">
        <v>17</v>
      </c>
      <c r="H105" t="s">
        <v>27</v>
      </c>
      <c r="I105">
        <v>15</v>
      </c>
      <c r="J105">
        <v>1</v>
      </c>
      <c r="K105">
        <v>132000</v>
      </c>
      <c r="L105" s="1">
        <v>44621</v>
      </c>
    </row>
    <row r="106" spans="1:12" x14ac:dyDescent="0.2">
      <c r="A106">
        <v>1104</v>
      </c>
      <c r="B106" s="1">
        <v>45809</v>
      </c>
      <c r="C106" t="s">
        <v>133</v>
      </c>
      <c r="D106" t="s">
        <v>14</v>
      </c>
      <c r="E106" t="s">
        <v>47</v>
      </c>
      <c r="F106" t="s">
        <v>44</v>
      </c>
      <c r="G106" t="s">
        <v>45</v>
      </c>
      <c r="H106" t="s">
        <v>27</v>
      </c>
      <c r="I106">
        <v>15</v>
      </c>
      <c r="J106">
        <v>1</v>
      </c>
      <c r="K106">
        <v>121000</v>
      </c>
      <c r="L106" s="1">
        <v>44621</v>
      </c>
    </row>
    <row r="107" spans="1:12" x14ac:dyDescent="0.2">
      <c r="A107">
        <v>1105</v>
      </c>
      <c r="B107" s="1">
        <v>45809</v>
      </c>
      <c r="C107" t="s">
        <v>134</v>
      </c>
      <c r="D107" t="s">
        <v>14</v>
      </c>
      <c r="E107" t="s">
        <v>61</v>
      </c>
      <c r="F107" t="s">
        <v>44</v>
      </c>
      <c r="G107" t="s">
        <v>61</v>
      </c>
      <c r="H107" t="s">
        <v>27</v>
      </c>
      <c r="I107">
        <v>15</v>
      </c>
      <c r="J107">
        <v>1</v>
      </c>
      <c r="K107">
        <v>123000</v>
      </c>
      <c r="L107" s="1">
        <v>44621</v>
      </c>
    </row>
    <row r="108" spans="1:12" x14ac:dyDescent="0.2">
      <c r="A108">
        <v>1106</v>
      </c>
      <c r="B108" s="1">
        <v>45809</v>
      </c>
      <c r="C108" t="s">
        <v>135</v>
      </c>
      <c r="D108" t="s">
        <v>78</v>
      </c>
      <c r="E108" t="s">
        <v>79</v>
      </c>
      <c r="F108" t="s">
        <v>44</v>
      </c>
      <c r="G108" t="s">
        <v>80</v>
      </c>
      <c r="H108" t="s">
        <v>27</v>
      </c>
      <c r="I108">
        <v>15</v>
      </c>
      <c r="J108">
        <v>1</v>
      </c>
      <c r="K108">
        <v>113000</v>
      </c>
      <c r="L108" s="1">
        <v>44621</v>
      </c>
    </row>
    <row r="109" spans="1:12" x14ac:dyDescent="0.2">
      <c r="A109">
        <v>1107</v>
      </c>
      <c r="B109" s="1">
        <v>45809</v>
      </c>
      <c r="C109" t="s">
        <v>136</v>
      </c>
      <c r="D109" t="s">
        <v>78</v>
      </c>
      <c r="E109" t="s">
        <v>97</v>
      </c>
      <c r="F109" t="s">
        <v>44</v>
      </c>
      <c r="G109" t="s">
        <v>97</v>
      </c>
      <c r="H109" t="s">
        <v>27</v>
      </c>
      <c r="I109">
        <v>15</v>
      </c>
      <c r="J109">
        <v>1</v>
      </c>
      <c r="K109">
        <v>108000</v>
      </c>
      <c r="L109" s="1">
        <v>44621</v>
      </c>
    </row>
    <row r="110" spans="1:12" x14ac:dyDescent="0.2">
      <c r="A110">
        <v>1108</v>
      </c>
      <c r="B110" s="1">
        <v>45809</v>
      </c>
      <c r="C110" t="s">
        <v>137</v>
      </c>
      <c r="D110" t="s">
        <v>106</v>
      </c>
      <c r="E110" t="s">
        <v>107</v>
      </c>
      <c r="F110" t="s">
        <v>44</v>
      </c>
      <c r="G110" t="s">
        <v>107</v>
      </c>
      <c r="H110" t="s">
        <v>23</v>
      </c>
      <c r="I110">
        <v>14</v>
      </c>
      <c r="J110">
        <v>1</v>
      </c>
      <c r="K110">
        <v>99000</v>
      </c>
      <c r="L110" s="1">
        <v>44621</v>
      </c>
    </row>
    <row r="111" spans="1:12" x14ac:dyDescent="0.2">
      <c r="A111">
        <v>1109</v>
      </c>
      <c r="B111" s="1">
        <v>45809</v>
      </c>
      <c r="C111" t="s">
        <v>138</v>
      </c>
      <c r="D111" t="s">
        <v>106</v>
      </c>
      <c r="E111" t="s">
        <v>123</v>
      </c>
      <c r="F111" t="s">
        <v>44</v>
      </c>
      <c r="G111" t="s">
        <v>123</v>
      </c>
      <c r="H111" t="s">
        <v>18</v>
      </c>
      <c r="I111">
        <v>13</v>
      </c>
      <c r="J111">
        <v>1</v>
      </c>
      <c r="K111">
        <v>75000</v>
      </c>
      <c r="L111" s="1">
        <v>44621</v>
      </c>
    </row>
    <row r="112" spans="1:12" x14ac:dyDescent="0.2">
      <c r="A112">
        <v>1110</v>
      </c>
      <c r="B112" s="1">
        <v>45809</v>
      </c>
      <c r="C112" t="s">
        <v>139</v>
      </c>
      <c r="D112" t="s">
        <v>14</v>
      </c>
      <c r="E112" t="s">
        <v>45</v>
      </c>
      <c r="F112" t="s">
        <v>44</v>
      </c>
      <c r="G112" t="s">
        <v>45</v>
      </c>
      <c r="H112" t="s">
        <v>27</v>
      </c>
      <c r="I112">
        <v>15</v>
      </c>
      <c r="J112">
        <v>0.5</v>
      </c>
      <c r="K112">
        <v>64000</v>
      </c>
      <c r="L112" s="1">
        <v>45108</v>
      </c>
    </row>
    <row r="113" spans="1:13" x14ac:dyDescent="0.2">
      <c r="A113">
        <v>1111</v>
      </c>
      <c r="B113" s="1">
        <v>45809</v>
      </c>
      <c r="C113" t="s">
        <v>140</v>
      </c>
      <c r="D113" t="s">
        <v>14</v>
      </c>
      <c r="E113" t="s">
        <v>30</v>
      </c>
      <c r="F113" t="s">
        <v>44</v>
      </c>
      <c r="G113" t="s">
        <v>17</v>
      </c>
      <c r="H113" t="s">
        <v>141</v>
      </c>
      <c r="I113">
        <v>16</v>
      </c>
      <c r="J113">
        <v>1</v>
      </c>
      <c r="K113">
        <v>230000</v>
      </c>
      <c r="L113" s="1">
        <v>43586</v>
      </c>
    </row>
    <row r="114" spans="1:13" x14ac:dyDescent="0.2">
      <c r="A114">
        <v>1112</v>
      </c>
      <c r="B114" s="1">
        <v>45809</v>
      </c>
      <c r="C114" t="s">
        <v>142</v>
      </c>
      <c r="D114" t="s">
        <v>14</v>
      </c>
      <c r="E114" t="s">
        <v>30</v>
      </c>
      <c r="F114" t="s">
        <v>16</v>
      </c>
      <c r="G114" t="s">
        <v>17</v>
      </c>
      <c r="H114" t="s">
        <v>141</v>
      </c>
      <c r="I114">
        <v>16</v>
      </c>
      <c r="J114">
        <v>1</v>
      </c>
      <c r="K114">
        <v>210000</v>
      </c>
      <c r="L114" s="1">
        <v>44378</v>
      </c>
    </row>
    <row r="115" spans="1:13" x14ac:dyDescent="0.2">
      <c r="A115">
        <v>1113</v>
      </c>
      <c r="B115" s="1">
        <v>45809</v>
      </c>
      <c r="C115" t="s">
        <v>143</v>
      </c>
      <c r="D115" t="s">
        <v>14</v>
      </c>
      <c r="E115" t="s">
        <v>61</v>
      </c>
      <c r="F115" t="s">
        <v>44</v>
      </c>
      <c r="G115" t="s">
        <v>61</v>
      </c>
      <c r="H115" t="s">
        <v>36</v>
      </c>
      <c r="I115">
        <v>17</v>
      </c>
      <c r="J115">
        <v>1</v>
      </c>
      <c r="K115">
        <v>194000</v>
      </c>
      <c r="L115" s="1">
        <v>44075</v>
      </c>
    </row>
    <row r="116" spans="1:13" x14ac:dyDescent="0.2">
      <c r="A116">
        <v>1114</v>
      </c>
      <c r="B116" s="1">
        <v>45809</v>
      </c>
      <c r="C116" t="s">
        <v>144</v>
      </c>
      <c r="D116" t="s">
        <v>14</v>
      </c>
      <c r="E116" t="s">
        <v>61</v>
      </c>
      <c r="F116" t="s">
        <v>44</v>
      </c>
      <c r="G116" t="s">
        <v>61</v>
      </c>
      <c r="H116" t="s">
        <v>145</v>
      </c>
      <c r="I116">
        <v>18</v>
      </c>
      <c r="J116">
        <v>1</v>
      </c>
      <c r="K116">
        <v>202000</v>
      </c>
      <c r="L116" s="1">
        <v>44562</v>
      </c>
      <c r="M116">
        <v>1113</v>
      </c>
    </row>
    <row r="117" spans="1:13" x14ac:dyDescent="0.2">
      <c r="A117">
        <v>1115</v>
      </c>
      <c r="B117" s="1">
        <v>45809</v>
      </c>
      <c r="C117" t="s">
        <v>146</v>
      </c>
      <c r="D117" t="s">
        <v>78</v>
      </c>
      <c r="E117" t="s">
        <v>97</v>
      </c>
      <c r="F117" t="s">
        <v>44</v>
      </c>
      <c r="G117" t="s">
        <v>97</v>
      </c>
      <c r="H117" t="s">
        <v>27</v>
      </c>
      <c r="I117">
        <v>15</v>
      </c>
      <c r="J117">
        <v>1</v>
      </c>
      <c r="K117">
        <v>92000</v>
      </c>
      <c r="L117" s="1">
        <v>44652</v>
      </c>
    </row>
    <row r="118" spans="1:13" x14ac:dyDescent="0.2">
      <c r="A118">
        <v>1116</v>
      </c>
      <c r="B118" s="1">
        <v>45809</v>
      </c>
      <c r="C118" t="s">
        <v>147</v>
      </c>
      <c r="D118" t="s">
        <v>78</v>
      </c>
      <c r="E118" t="s">
        <v>79</v>
      </c>
      <c r="F118" t="s">
        <v>44</v>
      </c>
      <c r="G118" t="s">
        <v>80</v>
      </c>
      <c r="H118" t="s">
        <v>23</v>
      </c>
      <c r="I118">
        <v>14</v>
      </c>
      <c r="J118">
        <v>1</v>
      </c>
      <c r="K118">
        <v>210000</v>
      </c>
      <c r="L118" s="1">
        <v>45047</v>
      </c>
    </row>
    <row r="119" spans="1:13" x14ac:dyDescent="0.2">
      <c r="A119">
        <v>1117</v>
      </c>
      <c r="B119" s="1">
        <v>45809</v>
      </c>
      <c r="C119" t="s">
        <v>148</v>
      </c>
      <c r="D119" t="s">
        <v>78</v>
      </c>
      <c r="E119" t="s">
        <v>79</v>
      </c>
      <c r="F119" t="s">
        <v>44</v>
      </c>
      <c r="G119" t="s">
        <v>80</v>
      </c>
      <c r="H119" t="s">
        <v>23</v>
      </c>
      <c r="I119">
        <v>14</v>
      </c>
      <c r="J119">
        <v>1</v>
      </c>
      <c r="K119">
        <v>160000</v>
      </c>
      <c r="L119" s="1">
        <v>45078</v>
      </c>
    </row>
    <row r="120" spans="1:13" x14ac:dyDescent="0.2">
      <c r="A120">
        <v>1118</v>
      </c>
      <c r="B120" s="1">
        <v>45809</v>
      </c>
      <c r="C120" t="s">
        <v>149</v>
      </c>
      <c r="D120" t="s">
        <v>106</v>
      </c>
      <c r="E120" t="s">
        <v>123</v>
      </c>
      <c r="F120" t="s">
        <v>44</v>
      </c>
      <c r="G120" t="s">
        <v>123</v>
      </c>
      <c r="H120" t="s">
        <v>23</v>
      </c>
      <c r="I120">
        <v>14</v>
      </c>
      <c r="J120">
        <v>1</v>
      </c>
      <c r="K120">
        <v>122000</v>
      </c>
      <c r="L120" s="1">
        <v>44958</v>
      </c>
    </row>
    <row r="121" spans="1:13" x14ac:dyDescent="0.2">
      <c r="A121">
        <v>1119</v>
      </c>
      <c r="B121" s="1">
        <v>45809</v>
      </c>
      <c r="C121" t="s">
        <v>149</v>
      </c>
      <c r="D121" t="s">
        <v>106</v>
      </c>
      <c r="E121" t="s">
        <v>123</v>
      </c>
      <c r="F121" t="s">
        <v>44</v>
      </c>
      <c r="G121" t="s">
        <v>123</v>
      </c>
      <c r="H121" t="s">
        <v>23</v>
      </c>
      <c r="I121">
        <v>14</v>
      </c>
      <c r="J121">
        <v>1</v>
      </c>
      <c r="K121">
        <v>127000</v>
      </c>
      <c r="L121" s="1">
        <v>44958</v>
      </c>
    </row>
    <row r="122" spans="1:13" x14ac:dyDescent="0.2">
      <c r="A122">
        <v>1120</v>
      </c>
      <c r="B122" s="1">
        <v>45809</v>
      </c>
      <c r="C122" t="s">
        <v>150</v>
      </c>
      <c r="D122" t="s">
        <v>14</v>
      </c>
      <c r="E122" t="s">
        <v>47</v>
      </c>
      <c r="F122" t="s">
        <v>44</v>
      </c>
      <c r="G122" t="s">
        <v>45</v>
      </c>
      <c r="H122" t="s">
        <v>23</v>
      </c>
      <c r="I122">
        <v>15</v>
      </c>
      <c r="J122">
        <v>1</v>
      </c>
      <c r="K122">
        <v>184000</v>
      </c>
      <c r="L122" s="1">
        <v>44774</v>
      </c>
    </row>
    <row r="123" spans="1:13" x14ac:dyDescent="0.2">
      <c r="A123">
        <v>1121</v>
      </c>
      <c r="B123" s="1">
        <v>45809</v>
      </c>
      <c r="C123" t="s">
        <v>151</v>
      </c>
      <c r="D123" t="s">
        <v>106</v>
      </c>
      <c r="E123" t="s">
        <v>107</v>
      </c>
      <c r="F123" t="s">
        <v>44</v>
      </c>
      <c r="G123" t="s">
        <v>107</v>
      </c>
      <c r="H123" t="s">
        <v>23</v>
      </c>
      <c r="I123">
        <v>14</v>
      </c>
      <c r="J123">
        <v>1</v>
      </c>
      <c r="K123">
        <v>137000</v>
      </c>
      <c r="L123" s="1">
        <v>45778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A0BE-3E84-4844-A028-AE5768C29D49}">
  <dimension ref="A1:E35"/>
  <sheetViews>
    <sheetView workbookViewId="0"/>
  </sheetViews>
  <sheetFormatPr baseColWidth="10" defaultRowHeight="16" x14ac:dyDescent="0.2"/>
  <cols>
    <col min="1" max="1" width="20.1640625" bestFit="1" customWidth="1"/>
    <col min="2" max="2" width="8.33203125" bestFit="1" customWidth="1"/>
    <col min="3" max="4" width="12.6640625" bestFit="1" customWidth="1"/>
    <col min="5" max="5" width="13" bestFit="1" customWidth="1"/>
  </cols>
  <sheetData>
    <row r="1" spans="1:5" x14ac:dyDescent="0.2">
      <c r="A1" t="s">
        <v>6</v>
      </c>
      <c r="B1" t="s">
        <v>8</v>
      </c>
      <c r="C1" t="s">
        <v>152</v>
      </c>
      <c r="D1" t="s">
        <v>153</v>
      </c>
      <c r="E1" t="s">
        <v>154</v>
      </c>
    </row>
    <row r="2" spans="1:5" x14ac:dyDescent="0.2">
      <c r="A2" t="s">
        <v>17</v>
      </c>
      <c r="B2">
        <v>13</v>
      </c>
      <c r="C2">
        <v>153000</v>
      </c>
      <c r="D2">
        <v>180000</v>
      </c>
      <c r="E2">
        <v>207000</v>
      </c>
    </row>
    <row r="3" spans="1:5" x14ac:dyDescent="0.2">
      <c r="A3" t="s">
        <v>17</v>
      </c>
      <c r="B3">
        <v>14</v>
      </c>
      <c r="C3">
        <v>162000</v>
      </c>
      <c r="D3">
        <v>190000</v>
      </c>
      <c r="E3">
        <v>218000</v>
      </c>
    </row>
    <row r="4" spans="1:5" x14ac:dyDescent="0.2">
      <c r="A4" t="s">
        <v>17</v>
      </c>
      <c r="B4">
        <v>15</v>
      </c>
      <c r="C4">
        <v>170000</v>
      </c>
      <c r="D4">
        <v>200000</v>
      </c>
      <c r="E4">
        <v>230000</v>
      </c>
    </row>
    <row r="5" spans="1:5" x14ac:dyDescent="0.2">
      <c r="A5" t="s">
        <v>17</v>
      </c>
      <c r="B5">
        <v>16</v>
      </c>
      <c r="C5">
        <v>178000</v>
      </c>
      <c r="D5">
        <v>210000</v>
      </c>
      <c r="E5">
        <v>241000</v>
      </c>
    </row>
    <row r="6" spans="1:5" x14ac:dyDescent="0.2">
      <c r="A6" t="s">
        <v>17</v>
      </c>
      <c r="B6">
        <v>17</v>
      </c>
      <c r="C6">
        <v>187000</v>
      </c>
      <c r="D6">
        <v>220000</v>
      </c>
      <c r="E6">
        <v>253000</v>
      </c>
    </row>
    <row r="7" spans="1:5" x14ac:dyDescent="0.2">
      <c r="A7" t="s">
        <v>17</v>
      </c>
      <c r="B7">
        <v>18</v>
      </c>
      <c r="C7">
        <v>196000</v>
      </c>
      <c r="D7">
        <v>230000</v>
      </c>
      <c r="E7">
        <v>264000</v>
      </c>
    </row>
    <row r="8" spans="1:5" x14ac:dyDescent="0.2">
      <c r="A8" t="s">
        <v>45</v>
      </c>
      <c r="B8">
        <v>13</v>
      </c>
      <c r="C8">
        <v>141000</v>
      </c>
      <c r="D8">
        <v>166000</v>
      </c>
      <c r="E8">
        <v>191000</v>
      </c>
    </row>
    <row r="9" spans="1:5" x14ac:dyDescent="0.2">
      <c r="A9" t="s">
        <v>45</v>
      </c>
      <c r="B9">
        <v>14</v>
      </c>
      <c r="C9">
        <v>149000</v>
      </c>
      <c r="D9">
        <v>175000</v>
      </c>
      <c r="E9">
        <v>201000</v>
      </c>
    </row>
    <row r="10" spans="1:5" x14ac:dyDescent="0.2">
      <c r="A10" t="s">
        <v>45</v>
      </c>
      <c r="B10">
        <v>15</v>
      </c>
      <c r="C10">
        <v>156000</v>
      </c>
      <c r="D10">
        <v>184000</v>
      </c>
      <c r="E10">
        <v>212000</v>
      </c>
    </row>
    <row r="11" spans="1:5" x14ac:dyDescent="0.2">
      <c r="A11" t="s">
        <v>45</v>
      </c>
      <c r="B11">
        <v>16</v>
      </c>
      <c r="C11">
        <v>164000</v>
      </c>
      <c r="D11">
        <v>193000</v>
      </c>
      <c r="E11">
        <v>222000</v>
      </c>
    </row>
    <row r="12" spans="1:5" x14ac:dyDescent="0.2">
      <c r="A12" t="s">
        <v>45</v>
      </c>
      <c r="B12">
        <v>17</v>
      </c>
      <c r="C12">
        <v>172000</v>
      </c>
      <c r="D12">
        <v>202000</v>
      </c>
      <c r="E12">
        <v>232000</v>
      </c>
    </row>
    <row r="13" spans="1:5" x14ac:dyDescent="0.2">
      <c r="A13" t="s">
        <v>61</v>
      </c>
      <c r="B13">
        <v>13</v>
      </c>
      <c r="C13">
        <v>134000</v>
      </c>
      <c r="D13">
        <v>158000</v>
      </c>
      <c r="E13">
        <v>182000</v>
      </c>
    </row>
    <row r="14" spans="1:5" x14ac:dyDescent="0.2">
      <c r="A14" t="s">
        <v>61</v>
      </c>
      <c r="B14">
        <v>14</v>
      </c>
      <c r="C14">
        <v>142000</v>
      </c>
      <c r="D14">
        <v>167000</v>
      </c>
      <c r="E14">
        <v>192000</v>
      </c>
    </row>
    <row r="15" spans="1:5" x14ac:dyDescent="0.2">
      <c r="A15" t="s">
        <v>61</v>
      </c>
      <c r="B15">
        <v>15</v>
      </c>
      <c r="C15">
        <v>150000</v>
      </c>
      <c r="D15">
        <v>176000</v>
      </c>
      <c r="E15">
        <v>202000</v>
      </c>
    </row>
    <row r="16" spans="1:5" x14ac:dyDescent="0.2">
      <c r="A16" t="s">
        <v>61</v>
      </c>
      <c r="B16">
        <v>16</v>
      </c>
      <c r="C16">
        <v>157000</v>
      </c>
      <c r="D16">
        <v>185000</v>
      </c>
      <c r="E16">
        <v>213000</v>
      </c>
    </row>
    <row r="17" spans="1:5" x14ac:dyDescent="0.2">
      <c r="A17" t="s">
        <v>61</v>
      </c>
      <c r="B17">
        <v>17</v>
      </c>
      <c r="C17">
        <v>165000</v>
      </c>
      <c r="D17">
        <v>194000</v>
      </c>
      <c r="E17">
        <v>223000</v>
      </c>
    </row>
    <row r="18" spans="1:5" x14ac:dyDescent="0.2">
      <c r="A18" t="s">
        <v>61</v>
      </c>
      <c r="B18">
        <v>18</v>
      </c>
      <c r="C18">
        <v>172000</v>
      </c>
      <c r="D18">
        <v>202000</v>
      </c>
      <c r="E18">
        <v>232000</v>
      </c>
    </row>
    <row r="19" spans="1:5" x14ac:dyDescent="0.2">
      <c r="A19" t="s">
        <v>80</v>
      </c>
      <c r="B19">
        <v>13</v>
      </c>
      <c r="C19">
        <v>128000</v>
      </c>
      <c r="D19">
        <v>151000</v>
      </c>
      <c r="E19">
        <v>174000</v>
      </c>
    </row>
    <row r="20" spans="1:5" x14ac:dyDescent="0.2">
      <c r="A20" t="s">
        <v>80</v>
      </c>
      <c r="B20">
        <v>14</v>
      </c>
      <c r="C20">
        <v>136000</v>
      </c>
      <c r="D20">
        <v>160000</v>
      </c>
      <c r="E20">
        <v>184000</v>
      </c>
    </row>
    <row r="21" spans="1:5" x14ac:dyDescent="0.2">
      <c r="A21" t="s">
        <v>80</v>
      </c>
      <c r="B21">
        <v>15</v>
      </c>
      <c r="C21">
        <v>143000</v>
      </c>
      <c r="D21">
        <v>168000</v>
      </c>
      <c r="E21">
        <v>193000</v>
      </c>
    </row>
    <row r="22" spans="1:5" x14ac:dyDescent="0.2">
      <c r="A22" t="s">
        <v>80</v>
      </c>
      <c r="B22">
        <v>16</v>
      </c>
      <c r="C22">
        <v>150000</v>
      </c>
      <c r="D22">
        <v>176000</v>
      </c>
      <c r="E22">
        <v>202000</v>
      </c>
    </row>
    <row r="23" spans="1:5" x14ac:dyDescent="0.2">
      <c r="A23" t="s">
        <v>80</v>
      </c>
      <c r="B23">
        <v>17</v>
      </c>
      <c r="C23">
        <v>157000</v>
      </c>
      <c r="D23">
        <v>185000</v>
      </c>
      <c r="E23">
        <v>213000</v>
      </c>
    </row>
    <row r="24" spans="1:5" x14ac:dyDescent="0.2">
      <c r="A24" t="s">
        <v>97</v>
      </c>
      <c r="B24">
        <v>14</v>
      </c>
      <c r="C24">
        <v>129000</v>
      </c>
      <c r="D24">
        <v>152000</v>
      </c>
      <c r="E24">
        <v>175000</v>
      </c>
    </row>
    <row r="25" spans="1:5" x14ac:dyDescent="0.2">
      <c r="A25" t="s">
        <v>97</v>
      </c>
      <c r="B25">
        <v>15</v>
      </c>
      <c r="C25">
        <v>136000</v>
      </c>
      <c r="D25">
        <v>160000</v>
      </c>
      <c r="E25">
        <v>184000</v>
      </c>
    </row>
    <row r="26" spans="1:5" x14ac:dyDescent="0.2">
      <c r="A26" t="s">
        <v>97</v>
      </c>
      <c r="B26">
        <v>16</v>
      </c>
      <c r="C26">
        <v>143000</v>
      </c>
      <c r="D26">
        <v>168000</v>
      </c>
      <c r="E26">
        <v>193000</v>
      </c>
    </row>
    <row r="27" spans="1:5" x14ac:dyDescent="0.2">
      <c r="A27" t="s">
        <v>97</v>
      </c>
      <c r="B27">
        <v>17</v>
      </c>
      <c r="C27">
        <v>150000</v>
      </c>
      <c r="D27">
        <v>176000</v>
      </c>
      <c r="E27">
        <v>202000</v>
      </c>
    </row>
    <row r="28" spans="1:5" x14ac:dyDescent="0.2">
      <c r="A28" t="s">
        <v>107</v>
      </c>
      <c r="B28">
        <v>12</v>
      </c>
      <c r="C28">
        <v>104000</v>
      </c>
      <c r="D28">
        <v>122000</v>
      </c>
      <c r="E28">
        <v>140000</v>
      </c>
    </row>
    <row r="29" spans="1:5" x14ac:dyDescent="0.2">
      <c r="A29" t="s">
        <v>107</v>
      </c>
      <c r="B29">
        <v>13</v>
      </c>
      <c r="C29">
        <v>110000</v>
      </c>
      <c r="D29">
        <v>130000</v>
      </c>
      <c r="E29">
        <v>150000</v>
      </c>
    </row>
    <row r="30" spans="1:5" x14ac:dyDescent="0.2">
      <c r="A30" t="s">
        <v>107</v>
      </c>
      <c r="B30">
        <v>14</v>
      </c>
      <c r="C30">
        <v>116000</v>
      </c>
      <c r="D30">
        <v>137000</v>
      </c>
      <c r="E30">
        <v>158000</v>
      </c>
    </row>
    <row r="31" spans="1:5" x14ac:dyDescent="0.2">
      <c r="A31" t="s">
        <v>107</v>
      </c>
      <c r="B31">
        <v>15</v>
      </c>
      <c r="C31">
        <v>122000</v>
      </c>
      <c r="D31">
        <v>144000</v>
      </c>
      <c r="E31">
        <v>166000</v>
      </c>
    </row>
    <row r="32" spans="1:5" x14ac:dyDescent="0.2">
      <c r="A32" t="s">
        <v>107</v>
      </c>
      <c r="B32">
        <v>16</v>
      </c>
      <c r="C32">
        <v>128000</v>
      </c>
      <c r="D32">
        <v>151000</v>
      </c>
      <c r="E32">
        <v>174000</v>
      </c>
    </row>
    <row r="33" spans="1:5" x14ac:dyDescent="0.2">
      <c r="A33" t="s">
        <v>123</v>
      </c>
      <c r="B33">
        <v>13</v>
      </c>
      <c r="C33">
        <v>98000</v>
      </c>
      <c r="D33">
        <v>115000</v>
      </c>
      <c r="E33">
        <v>132000</v>
      </c>
    </row>
    <row r="34" spans="1:5" x14ac:dyDescent="0.2">
      <c r="A34" t="s">
        <v>123</v>
      </c>
      <c r="B34">
        <v>14</v>
      </c>
      <c r="C34">
        <v>104000</v>
      </c>
      <c r="D34">
        <v>122000</v>
      </c>
      <c r="E34">
        <v>140000</v>
      </c>
    </row>
    <row r="35" spans="1:5" x14ac:dyDescent="0.2">
      <c r="A35" t="s">
        <v>123</v>
      </c>
      <c r="B35">
        <v>15</v>
      </c>
      <c r="C35">
        <v>109000</v>
      </c>
      <c r="D35">
        <v>128000</v>
      </c>
      <c r="E35">
        <v>147000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8B2A-E3B5-5A44-A421-23A6EA282957}">
  <dimension ref="A1:AB123"/>
  <sheetViews>
    <sheetView workbookViewId="0">
      <selection sqref="A1:W123"/>
    </sheetView>
  </sheetViews>
  <sheetFormatPr baseColWidth="10" defaultRowHeight="16" x14ac:dyDescent="0.2"/>
  <cols>
    <col min="1" max="1" width="13.83203125" customWidth="1"/>
    <col min="2" max="2" width="10.83203125" style="1"/>
    <col min="3" max="3" width="11.6640625" customWidth="1"/>
    <col min="7" max="7" width="12.33203125" customWidth="1"/>
    <col min="12" max="12" width="11.1640625" style="1" customWidth="1"/>
    <col min="13" max="13" width="13.1640625" customWidth="1"/>
    <col min="14" max="15" width="12.5" customWidth="1"/>
    <col min="16" max="16" width="12.83203125" customWidth="1"/>
    <col min="17" max="17" width="15.5" bestFit="1" customWidth="1"/>
    <col min="18" max="18" width="22.83203125" customWidth="1"/>
    <col min="19" max="19" width="16" customWidth="1"/>
    <col min="20" max="20" width="19.33203125" customWidth="1"/>
    <col min="21" max="21" width="21.33203125" customWidth="1"/>
    <col min="22" max="22" width="21" customWidth="1"/>
    <col min="23" max="23" width="17.83203125" customWidth="1"/>
  </cols>
  <sheetData>
    <row r="1" spans="1:2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160</v>
      </c>
      <c r="V1" t="s">
        <v>161</v>
      </c>
      <c r="W1" t="s">
        <v>162</v>
      </c>
    </row>
    <row r="2" spans="1:28" x14ac:dyDescent="0.2">
      <c r="A2">
        <v>1000</v>
      </c>
      <c r="B2" s="1">
        <v>45809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13</v>
      </c>
      <c r="J2">
        <v>0.5</v>
      </c>
      <c r="K2">
        <v>82500</v>
      </c>
      <c r="L2" s="1">
        <v>45342</v>
      </c>
      <c r="N2">
        <f>SUMIFS(salary_bands[salary_min],salary_bands[prof_group],G2,salary_bands[grade],I2)</f>
        <v>153000</v>
      </c>
      <c r="O2">
        <f>SUMIFS(salary_bands[salary_mid],salary_bands[prof_group],G2,salary_bands[grade],I2)</f>
        <v>180000</v>
      </c>
      <c r="P2">
        <f>SUMIFS(salary_bands[salary_max],salary_bands[prof_group],G2,salary_bands[grade],I2)</f>
        <v>207000</v>
      </c>
      <c r="Q2" t="str" cm="1">
        <f t="array" ref="Q2">_xlfn.IFS(S2&lt;N2,"ниже минимума",S2&lt;=O2,"ниже середины",S2&lt;=P2,"выше середины",S2&gt;P2,"выше максимума")</f>
        <v>ниже середины</v>
      </c>
      <c r="R2">
        <f>IF(S2&lt;N2,N2-S2,0)</f>
        <v>0</v>
      </c>
      <c r="S2">
        <f>K2/J2</f>
        <v>165000</v>
      </c>
      <c r="T2">
        <f t="shared" ref="T2:T33" si="0">IF(S2&lt;O2,O2-S2,0)</f>
        <v>15000</v>
      </c>
      <c r="U2">
        <f>IF(R2&gt;0, R2*J2, 0)</f>
        <v>0</v>
      </c>
      <c r="V2">
        <f t="shared" ref="V2:V33" si="1">IF(AND(R2=0, T2&gt;3000), T2*J2, 0)</f>
        <v>7500</v>
      </c>
      <c r="W2" s="4">
        <f t="shared" ref="W2:W32" si="2">U2+V2</f>
        <v>7500</v>
      </c>
    </row>
    <row r="3" spans="1:28" x14ac:dyDescent="0.2">
      <c r="A3">
        <v>1001</v>
      </c>
      <c r="B3" s="1">
        <v>45809</v>
      </c>
      <c r="C3" t="s">
        <v>19</v>
      </c>
      <c r="D3" t="s">
        <v>14</v>
      </c>
      <c r="E3" t="s">
        <v>17</v>
      </c>
      <c r="F3" t="s">
        <v>16</v>
      </c>
      <c r="G3" t="s">
        <v>17</v>
      </c>
      <c r="H3" t="s">
        <v>18</v>
      </c>
      <c r="I3">
        <v>13</v>
      </c>
      <c r="J3">
        <v>1</v>
      </c>
      <c r="K3">
        <v>165000</v>
      </c>
      <c r="L3" s="1">
        <v>45342</v>
      </c>
      <c r="N3">
        <f>SUMIFS(salary_bands[salary_min],salary_bands[prof_group],G3,salary_bands[grade],I3)</f>
        <v>153000</v>
      </c>
      <c r="O3">
        <f>SUMIFS(salary_bands[salary_mid],salary_bands[prof_group],G3,salary_bands[grade],I3)</f>
        <v>180000</v>
      </c>
      <c r="P3">
        <f>SUMIFS(salary_bands[salary_max],salary_bands[prof_group],G3,salary_bands[grade],I3)</f>
        <v>207000</v>
      </c>
      <c r="Q3" t="str" cm="1">
        <f t="array" ref="Q3">_xlfn.IFS(S3&lt;N3,"ниже минимума",S3&lt;=O3,"ниже середины",S3&lt;=P3,"выше середины",S3&gt;P3,"выше максимума")</f>
        <v>ниже середины</v>
      </c>
      <c r="R3">
        <f t="shared" ref="R3:R66" si="3">IF(S3&lt;N3,N3-S3,0)</f>
        <v>0</v>
      </c>
      <c r="S3">
        <f t="shared" ref="S3:S66" si="4">K3/J3</f>
        <v>165000</v>
      </c>
      <c r="T3">
        <f t="shared" si="0"/>
        <v>15000</v>
      </c>
      <c r="U3">
        <f t="shared" ref="U3:U66" si="5">IF(R3&gt;0, R3*J3, 0)</f>
        <v>0</v>
      </c>
      <c r="V3">
        <f t="shared" si="1"/>
        <v>15000</v>
      </c>
      <c r="W3" s="4">
        <f t="shared" si="2"/>
        <v>15000</v>
      </c>
    </row>
    <row r="4" spans="1:28" x14ac:dyDescent="0.2">
      <c r="A4">
        <v>1002</v>
      </c>
      <c r="B4" s="1">
        <v>45809</v>
      </c>
      <c r="C4" t="s">
        <v>20</v>
      </c>
      <c r="D4" t="s">
        <v>14</v>
      </c>
      <c r="E4" t="s">
        <v>21</v>
      </c>
      <c r="F4" t="s">
        <v>22</v>
      </c>
      <c r="G4" t="s">
        <v>17</v>
      </c>
      <c r="H4" t="s">
        <v>23</v>
      </c>
      <c r="I4">
        <v>14</v>
      </c>
      <c r="J4">
        <v>1</v>
      </c>
      <c r="K4">
        <v>207000</v>
      </c>
      <c r="L4" s="1">
        <v>45342</v>
      </c>
      <c r="N4">
        <f>SUMIFS(salary_bands[salary_min],salary_bands[prof_group],G4,salary_bands[grade],I4)</f>
        <v>162000</v>
      </c>
      <c r="O4">
        <f>SUMIFS(salary_bands[salary_mid],salary_bands[prof_group],G4,salary_bands[grade],I4)</f>
        <v>190000</v>
      </c>
      <c r="P4">
        <f>SUMIFS(salary_bands[salary_max],salary_bands[prof_group],G4,salary_bands[grade],I4)</f>
        <v>218000</v>
      </c>
      <c r="Q4" t="str" cm="1">
        <f t="array" ref="Q4">_xlfn.IFS(S4&lt;N4,"ниже минимума",S4&lt;=O4,"ниже середины",S4&lt;=P4,"выше середины",S4&gt;P4,"выше максимума")</f>
        <v>выше середины</v>
      </c>
      <c r="R4">
        <f t="shared" si="3"/>
        <v>0</v>
      </c>
      <c r="S4">
        <f t="shared" si="4"/>
        <v>207000</v>
      </c>
      <c r="T4">
        <f t="shared" si="0"/>
        <v>0</v>
      </c>
      <c r="U4">
        <f t="shared" si="5"/>
        <v>0</v>
      </c>
      <c r="V4">
        <f t="shared" si="1"/>
        <v>0</v>
      </c>
      <c r="W4" s="4">
        <f t="shared" si="2"/>
        <v>0</v>
      </c>
    </row>
    <row r="5" spans="1:28" x14ac:dyDescent="0.2">
      <c r="A5">
        <v>1003</v>
      </c>
      <c r="B5" s="1">
        <v>45809</v>
      </c>
      <c r="C5" t="s">
        <v>24</v>
      </c>
      <c r="D5" t="s">
        <v>14</v>
      </c>
      <c r="E5" t="s">
        <v>17</v>
      </c>
      <c r="F5" t="s">
        <v>22</v>
      </c>
      <c r="G5" t="s">
        <v>17</v>
      </c>
      <c r="H5" t="s">
        <v>23</v>
      </c>
      <c r="I5">
        <v>14</v>
      </c>
      <c r="J5">
        <v>1</v>
      </c>
      <c r="K5">
        <v>174000</v>
      </c>
      <c r="L5" s="1">
        <v>44256</v>
      </c>
      <c r="N5">
        <f>SUMIFS(salary_bands[salary_min],salary_bands[prof_group],G5,salary_bands[grade],I5)</f>
        <v>162000</v>
      </c>
      <c r="O5">
        <f>SUMIFS(salary_bands[salary_mid],salary_bands[prof_group],G5,salary_bands[grade],I5)</f>
        <v>190000</v>
      </c>
      <c r="P5">
        <f>SUMIFS(salary_bands[salary_max],salary_bands[prof_group],G5,salary_bands[grade],I5)</f>
        <v>218000</v>
      </c>
      <c r="Q5" t="str" cm="1">
        <f t="array" ref="Q5">_xlfn.IFS(S5&lt;N5,"ниже минимума",S5&lt;=O5,"ниже середины",S5&lt;=P5,"выше середины",S5&gt;P5,"выше максимума")</f>
        <v>ниже середины</v>
      </c>
      <c r="R5">
        <f t="shared" si="3"/>
        <v>0</v>
      </c>
      <c r="S5">
        <f t="shared" si="4"/>
        <v>174000</v>
      </c>
      <c r="T5">
        <f t="shared" si="0"/>
        <v>16000</v>
      </c>
      <c r="U5">
        <f t="shared" si="5"/>
        <v>0</v>
      </c>
      <c r="V5">
        <f t="shared" si="1"/>
        <v>16000</v>
      </c>
      <c r="W5">
        <f t="shared" si="2"/>
        <v>16000</v>
      </c>
      <c r="AB5" s="4"/>
    </row>
    <row r="6" spans="1:28" x14ac:dyDescent="0.2">
      <c r="A6">
        <v>1004</v>
      </c>
      <c r="B6" s="1">
        <v>45809</v>
      </c>
      <c r="C6" t="s">
        <v>25</v>
      </c>
      <c r="D6" t="s">
        <v>14</v>
      </c>
      <c r="E6" t="s">
        <v>17</v>
      </c>
      <c r="F6" t="s">
        <v>22</v>
      </c>
      <c r="G6" t="s">
        <v>17</v>
      </c>
      <c r="H6" t="s">
        <v>23</v>
      </c>
      <c r="I6">
        <v>16</v>
      </c>
      <c r="J6">
        <v>1</v>
      </c>
      <c r="K6">
        <v>209000</v>
      </c>
      <c r="L6" s="1">
        <v>45601</v>
      </c>
      <c r="N6">
        <f>SUMIFS(salary_bands[salary_min],salary_bands[prof_group],G6,salary_bands[grade],I6)</f>
        <v>178000</v>
      </c>
      <c r="O6">
        <f>SUMIFS(salary_bands[salary_mid],salary_bands[prof_group],G6,salary_bands[grade],I6)</f>
        <v>210000</v>
      </c>
      <c r="P6">
        <f>SUMIFS(salary_bands[salary_max],salary_bands[prof_group],G6,salary_bands[grade],I6)</f>
        <v>241000</v>
      </c>
      <c r="Q6" t="str" cm="1">
        <f t="array" ref="Q6">_xlfn.IFS(S6&lt;N6,"ниже минимума",S6&lt;=O6,"ниже середины",S6&lt;=P6,"выше середины",S6&gt;P6,"выше максимума")</f>
        <v>ниже середины</v>
      </c>
      <c r="R6">
        <f t="shared" si="3"/>
        <v>0</v>
      </c>
      <c r="S6">
        <f t="shared" si="4"/>
        <v>209000</v>
      </c>
      <c r="T6">
        <f t="shared" si="0"/>
        <v>1000</v>
      </c>
      <c r="U6">
        <f t="shared" si="5"/>
        <v>0</v>
      </c>
      <c r="V6">
        <f t="shared" si="1"/>
        <v>0</v>
      </c>
      <c r="W6">
        <f t="shared" si="2"/>
        <v>0</v>
      </c>
      <c r="AB6" s="4"/>
    </row>
    <row r="7" spans="1:28" x14ac:dyDescent="0.2">
      <c r="A7">
        <v>1005</v>
      </c>
      <c r="B7" s="1">
        <v>45809</v>
      </c>
      <c r="C7" t="s">
        <v>26</v>
      </c>
      <c r="D7" t="s">
        <v>14</v>
      </c>
      <c r="E7" t="s">
        <v>15</v>
      </c>
      <c r="F7" t="s">
        <v>22</v>
      </c>
      <c r="G7" t="s">
        <v>17</v>
      </c>
      <c r="H7" t="s">
        <v>27</v>
      </c>
      <c r="I7">
        <v>15</v>
      </c>
      <c r="J7">
        <v>1</v>
      </c>
      <c r="K7">
        <v>188000</v>
      </c>
      <c r="L7" s="1">
        <v>44256</v>
      </c>
      <c r="N7">
        <f>SUMIFS(salary_bands[salary_min],salary_bands[prof_group],G7,salary_bands[grade],I7)</f>
        <v>170000</v>
      </c>
      <c r="O7">
        <f>SUMIFS(salary_bands[salary_mid],salary_bands[prof_group],G7,salary_bands[grade],I7)</f>
        <v>200000</v>
      </c>
      <c r="P7">
        <f>SUMIFS(salary_bands[salary_max],salary_bands[prof_group],G7,salary_bands[grade],I7)</f>
        <v>230000</v>
      </c>
      <c r="Q7" t="str" cm="1">
        <f t="array" ref="Q7">_xlfn.IFS(S7&lt;N7,"ниже минимума",S7&lt;=O7,"ниже середины",S7&lt;=P7,"выше середины",S7&gt;P7,"выше максимума")</f>
        <v>ниже середины</v>
      </c>
      <c r="R7">
        <f t="shared" si="3"/>
        <v>0</v>
      </c>
      <c r="S7">
        <f t="shared" si="4"/>
        <v>188000</v>
      </c>
      <c r="T7">
        <f t="shared" si="0"/>
        <v>12000</v>
      </c>
      <c r="U7">
        <f t="shared" si="5"/>
        <v>0</v>
      </c>
      <c r="V7">
        <f t="shared" si="1"/>
        <v>12000</v>
      </c>
      <c r="W7">
        <f t="shared" si="2"/>
        <v>12000</v>
      </c>
      <c r="AB7" s="4"/>
    </row>
    <row r="8" spans="1:28" x14ac:dyDescent="0.2">
      <c r="A8">
        <v>1006</v>
      </c>
      <c r="B8" s="1">
        <v>45809</v>
      </c>
      <c r="C8" t="s">
        <v>28</v>
      </c>
      <c r="D8" t="s">
        <v>14</v>
      </c>
      <c r="E8" t="s">
        <v>15</v>
      </c>
      <c r="F8" t="s">
        <v>16</v>
      </c>
      <c r="G8" t="s">
        <v>17</v>
      </c>
      <c r="H8" t="s">
        <v>27</v>
      </c>
      <c r="I8">
        <v>15</v>
      </c>
      <c r="J8">
        <v>1</v>
      </c>
      <c r="K8">
        <v>216000</v>
      </c>
      <c r="L8" s="1">
        <v>44256</v>
      </c>
      <c r="N8">
        <f>SUMIFS(salary_bands[salary_min],salary_bands[prof_group],G8,salary_bands[grade],I8)</f>
        <v>170000</v>
      </c>
      <c r="O8">
        <f>SUMIFS(salary_bands[salary_mid],salary_bands[prof_group],G8,salary_bands[grade],I8)</f>
        <v>200000</v>
      </c>
      <c r="P8">
        <f>SUMIFS(salary_bands[salary_max],salary_bands[prof_group],G8,salary_bands[grade],I8)</f>
        <v>230000</v>
      </c>
      <c r="Q8" t="str" cm="1">
        <f t="array" ref="Q8">_xlfn.IFS(S8&lt;N8,"ниже минимума",S8&lt;=O8,"ниже середины",S8&lt;=P8,"выше середины",S8&gt;P8,"выше максимума")</f>
        <v>выше середины</v>
      </c>
      <c r="R8">
        <f t="shared" si="3"/>
        <v>0</v>
      </c>
      <c r="S8">
        <f t="shared" si="4"/>
        <v>216000</v>
      </c>
      <c r="T8">
        <f t="shared" si="0"/>
        <v>0</v>
      </c>
      <c r="U8">
        <f t="shared" si="5"/>
        <v>0</v>
      </c>
      <c r="V8">
        <f t="shared" si="1"/>
        <v>0</v>
      </c>
      <c r="W8">
        <f t="shared" si="2"/>
        <v>0</v>
      </c>
      <c r="AB8" s="4"/>
    </row>
    <row r="9" spans="1:28" x14ac:dyDescent="0.2">
      <c r="A9">
        <v>1007</v>
      </c>
      <c r="B9" s="1">
        <v>45809</v>
      </c>
      <c r="C9" t="s">
        <v>29</v>
      </c>
      <c r="D9" t="s">
        <v>14</v>
      </c>
      <c r="E9" t="s">
        <v>30</v>
      </c>
      <c r="F9" t="s">
        <v>22</v>
      </c>
      <c r="G9" t="s">
        <v>17</v>
      </c>
      <c r="H9" t="s">
        <v>31</v>
      </c>
      <c r="I9">
        <v>16</v>
      </c>
      <c r="J9">
        <v>1</v>
      </c>
      <c r="K9">
        <v>231000</v>
      </c>
      <c r="L9" s="1">
        <v>45170</v>
      </c>
      <c r="N9">
        <f>SUMIFS(salary_bands[salary_min],salary_bands[prof_group],G9,salary_bands[grade],I9)</f>
        <v>178000</v>
      </c>
      <c r="O9">
        <f>SUMIFS(salary_bands[salary_mid],salary_bands[prof_group],G9,salary_bands[grade],I9)</f>
        <v>210000</v>
      </c>
      <c r="P9">
        <f>SUMIFS(salary_bands[salary_max],salary_bands[prof_group],G9,salary_bands[grade],I9)</f>
        <v>241000</v>
      </c>
      <c r="Q9" t="str" cm="1">
        <f t="array" ref="Q9">_xlfn.IFS(S9&lt;N9,"ниже минимума",S9&lt;=O9,"ниже середины",S9&lt;=P9,"выше середины",S9&gt;P9,"выше максимума")</f>
        <v>выше середины</v>
      </c>
      <c r="R9">
        <f t="shared" si="3"/>
        <v>0</v>
      </c>
      <c r="S9">
        <f t="shared" si="4"/>
        <v>231000</v>
      </c>
      <c r="T9">
        <f t="shared" si="0"/>
        <v>0</v>
      </c>
      <c r="U9">
        <f t="shared" si="5"/>
        <v>0</v>
      </c>
      <c r="V9">
        <f t="shared" si="1"/>
        <v>0</v>
      </c>
      <c r="W9">
        <f t="shared" si="2"/>
        <v>0</v>
      </c>
    </row>
    <row r="10" spans="1:28" x14ac:dyDescent="0.2">
      <c r="A10">
        <v>1008</v>
      </c>
      <c r="B10" s="1">
        <v>45809</v>
      </c>
      <c r="C10" t="s">
        <v>32</v>
      </c>
      <c r="D10" t="s">
        <v>14</v>
      </c>
      <c r="E10" t="s">
        <v>30</v>
      </c>
      <c r="F10" t="s">
        <v>16</v>
      </c>
      <c r="G10" t="s">
        <v>17</v>
      </c>
      <c r="H10" t="s">
        <v>31</v>
      </c>
      <c r="I10">
        <v>16</v>
      </c>
      <c r="J10">
        <v>1</v>
      </c>
      <c r="K10">
        <v>222000</v>
      </c>
      <c r="L10" s="1">
        <v>44727</v>
      </c>
      <c r="N10">
        <f>SUMIFS(salary_bands[salary_min],salary_bands[prof_group],G10,salary_bands[grade],I10)</f>
        <v>178000</v>
      </c>
      <c r="O10">
        <f>SUMIFS(salary_bands[salary_mid],salary_bands[prof_group],G10,salary_bands[grade],I10)</f>
        <v>210000</v>
      </c>
      <c r="P10">
        <f>SUMIFS(salary_bands[salary_max],salary_bands[prof_group],G10,salary_bands[grade],I10)</f>
        <v>241000</v>
      </c>
      <c r="Q10" t="str" cm="1">
        <f t="array" ref="Q10">_xlfn.IFS(S10&lt;N10,"ниже минимума",S10&lt;=O10,"ниже середины",S10&lt;=P10,"выше середины",S10&gt;P10,"выше максимума")</f>
        <v>выше середины</v>
      </c>
      <c r="R10">
        <f t="shared" si="3"/>
        <v>0</v>
      </c>
      <c r="S10">
        <f t="shared" si="4"/>
        <v>222000</v>
      </c>
      <c r="T10">
        <f t="shared" si="0"/>
        <v>0</v>
      </c>
      <c r="U10">
        <f t="shared" si="5"/>
        <v>0</v>
      </c>
      <c r="V10">
        <f t="shared" si="1"/>
        <v>0</v>
      </c>
      <c r="W10">
        <f t="shared" si="2"/>
        <v>0</v>
      </c>
    </row>
    <row r="11" spans="1:28" x14ac:dyDescent="0.2">
      <c r="A11">
        <v>1009</v>
      </c>
      <c r="B11" s="1">
        <v>45809</v>
      </c>
      <c r="C11" t="s">
        <v>33</v>
      </c>
      <c r="D11" t="s">
        <v>14</v>
      </c>
      <c r="E11" t="s">
        <v>21</v>
      </c>
      <c r="F11" t="s">
        <v>16</v>
      </c>
      <c r="G11" t="s">
        <v>17</v>
      </c>
      <c r="H11" t="s">
        <v>31</v>
      </c>
      <c r="I11">
        <v>16</v>
      </c>
      <c r="J11">
        <v>1</v>
      </c>
      <c r="K11">
        <v>195000</v>
      </c>
      <c r="L11" s="1">
        <v>43845</v>
      </c>
      <c r="N11">
        <f>SUMIFS(salary_bands[salary_min],salary_bands[prof_group],G11,salary_bands[grade],I11)</f>
        <v>178000</v>
      </c>
      <c r="O11">
        <f>SUMIFS(salary_bands[salary_mid],salary_bands[prof_group],G11,salary_bands[grade],I11)</f>
        <v>210000</v>
      </c>
      <c r="P11">
        <f>SUMIFS(salary_bands[salary_max],salary_bands[prof_group],G11,salary_bands[grade],I11)</f>
        <v>241000</v>
      </c>
      <c r="Q11" t="str" cm="1">
        <f t="array" ref="Q11">_xlfn.IFS(S11&lt;N11,"ниже минимума",S11&lt;=O11,"ниже середины",S11&lt;=P11,"выше середины",S11&gt;P11,"выше максимума")</f>
        <v>ниже середины</v>
      </c>
      <c r="R11">
        <f t="shared" si="3"/>
        <v>0</v>
      </c>
      <c r="S11">
        <f t="shared" si="4"/>
        <v>195000</v>
      </c>
      <c r="T11">
        <f t="shared" si="0"/>
        <v>15000</v>
      </c>
      <c r="U11">
        <f t="shared" si="5"/>
        <v>0</v>
      </c>
      <c r="V11">
        <f t="shared" si="1"/>
        <v>15000</v>
      </c>
      <c r="W11">
        <f t="shared" si="2"/>
        <v>15000</v>
      </c>
    </row>
    <row r="12" spans="1:28" x14ac:dyDescent="0.2">
      <c r="A12">
        <v>1010</v>
      </c>
      <c r="B12" s="1">
        <v>45809</v>
      </c>
      <c r="C12" t="s">
        <v>34</v>
      </c>
      <c r="D12" t="s">
        <v>14</v>
      </c>
      <c r="E12" t="s">
        <v>21</v>
      </c>
      <c r="F12" t="s">
        <v>16</v>
      </c>
      <c r="G12" t="s">
        <v>17</v>
      </c>
      <c r="H12" t="s">
        <v>31</v>
      </c>
      <c r="I12">
        <v>16</v>
      </c>
      <c r="J12">
        <v>0.6</v>
      </c>
      <c r="K12">
        <v>121800</v>
      </c>
      <c r="L12" s="1">
        <v>45170</v>
      </c>
      <c r="N12">
        <f>SUMIFS(salary_bands[salary_min],salary_bands[prof_group],G12,salary_bands[grade],I12)</f>
        <v>178000</v>
      </c>
      <c r="O12">
        <f>SUMIFS(salary_bands[salary_mid],salary_bands[prof_group],G12,salary_bands[grade],I12)</f>
        <v>210000</v>
      </c>
      <c r="P12">
        <f>SUMIFS(salary_bands[salary_max],salary_bands[prof_group],G12,salary_bands[grade],I12)</f>
        <v>241000</v>
      </c>
      <c r="Q12" t="str" cm="1">
        <f t="array" ref="Q12">_xlfn.IFS(S12&lt;N12,"ниже минимума",S12&lt;=O12,"ниже середины",S12&lt;=P12,"выше середины",S12&gt;P12,"выше максимума")</f>
        <v>ниже середины</v>
      </c>
      <c r="R12">
        <f t="shared" si="3"/>
        <v>0</v>
      </c>
      <c r="S12">
        <f t="shared" si="4"/>
        <v>203000</v>
      </c>
      <c r="T12">
        <f t="shared" si="0"/>
        <v>7000</v>
      </c>
      <c r="U12">
        <f t="shared" si="5"/>
        <v>0</v>
      </c>
      <c r="V12">
        <f t="shared" si="1"/>
        <v>4200</v>
      </c>
      <c r="W12">
        <f t="shared" si="2"/>
        <v>4200</v>
      </c>
    </row>
    <row r="13" spans="1:28" x14ac:dyDescent="0.2">
      <c r="A13">
        <v>1011</v>
      </c>
      <c r="B13" s="1">
        <v>45809</v>
      </c>
      <c r="C13" t="s">
        <v>35</v>
      </c>
      <c r="D13" t="s">
        <v>14</v>
      </c>
      <c r="E13" t="s">
        <v>30</v>
      </c>
      <c r="F13" t="s">
        <v>22</v>
      </c>
      <c r="G13" t="s">
        <v>17</v>
      </c>
      <c r="H13" t="s">
        <v>36</v>
      </c>
      <c r="I13">
        <v>17</v>
      </c>
      <c r="J13">
        <v>1</v>
      </c>
      <c r="K13">
        <v>247000</v>
      </c>
      <c r="L13" s="1">
        <v>44936</v>
      </c>
      <c r="N13">
        <f>SUMIFS(salary_bands[salary_min],salary_bands[prof_group],G13,salary_bands[grade],I13)</f>
        <v>187000</v>
      </c>
      <c r="O13">
        <f>SUMIFS(salary_bands[salary_mid],salary_bands[prof_group],G13,salary_bands[grade],I13)</f>
        <v>220000</v>
      </c>
      <c r="P13">
        <f>SUMIFS(salary_bands[salary_max],salary_bands[prof_group],G13,salary_bands[grade],I13)</f>
        <v>253000</v>
      </c>
      <c r="Q13" t="str" cm="1">
        <f t="array" ref="Q13">_xlfn.IFS(S13&lt;N13,"ниже минимума",S13&lt;=O13,"ниже середины",S13&lt;=P13,"выше середины",S13&gt;P13,"выше максимума")</f>
        <v>выше середины</v>
      </c>
      <c r="R13">
        <f t="shared" si="3"/>
        <v>0</v>
      </c>
      <c r="S13">
        <f t="shared" si="4"/>
        <v>247000</v>
      </c>
      <c r="T13">
        <f t="shared" si="0"/>
        <v>0</v>
      </c>
      <c r="U13">
        <f t="shared" si="5"/>
        <v>0</v>
      </c>
      <c r="V13">
        <f t="shared" si="1"/>
        <v>0</v>
      </c>
      <c r="W13">
        <f t="shared" si="2"/>
        <v>0</v>
      </c>
    </row>
    <row r="14" spans="1:28" x14ac:dyDescent="0.2">
      <c r="A14">
        <v>1012</v>
      </c>
      <c r="B14" s="1">
        <v>45809</v>
      </c>
      <c r="C14" t="s">
        <v>37</v>
      </c>
      <c r="D14" t="s">
        <v>14</v>
      </c>
      <c r="E14" t="s">
        <v>17</v>
      </c>
      <c r="F14" t="s">
        <v>16</v>
      </c>
      <c r="G14" t="s">
        <v>17</v>
      </c>
      <c r="H14" t="s">
        <v>36</v>
      </c>
      <c r="I14">
        <v>17</v>
      </c>
      <c r="J14">
        <v>1</v>
      </c>
      <c r="K14">
        <v>224000</v>
      </c>
      <c r="L14" s="1">
        <v>45342</v>
      </c>
      <c r="N14">
        <f>SUMIFS(salary_bands[salary_min],salary_bands[prof_group],G14,salary_bands[grade],I14)</f>
        <v>187000</v>
      </c>
      <c r="O14">
        <f>SUMIFS(salary_bands[salary_mid],salary_bands[prof_group],G14,salary_bands[grade],I14)</f>
        <v>220000</v>
      </c>
      <c r="P14">
        <f>SUMIFS(salary_bands[salary_max],salary_bands[prof_group],G14,salary_bands[grade],I14)</f>
        <v>253000</v>
      </c>
      <c r="Q14" t="str" cm="1">
        <f t="array" ref="Q14">_xlfn.IFS(S14&lt;N14,"ниже минимума",S14&lt;=O14,"ниже середины",S14&lt;=P14,"выше середины",S14&gt;P14,"выше максимума")</f>
        <v>выше середины</v>
      </c>
      <c r="R14">
        <f t="shared" si="3"/>
        <v>0</v>
      </c>
      <c r="S14">
        <f t="shared" si="4"/>
        <v>224000</v>
      </c>
      <c r="T14">
        <f t="shared" si="0"/>
        <v>0</v>
      </c>
      <c r="U14">
        <f t="shared" si="5"/>
        <v>0</v>
      </c>
      <c r="V14">
        <f t="shared" si="1"/>
        <v>0</v>
      </c>
      <c r="W14">
        <f t="shared" si="2"/>
        <v>0</v>
      </c>
    </row>
    <row r="15" spans="1:28" x14ac:dyDescent="0.2">
      <c r="A15">
        <v>1013</v>
      </c>
      <c r="B15" s="1">
        <v>45809</v>
      </c>
      <c r="C15" t="s">
        <v>38</v>
      </c>
      <c r="D15" t="s">
        <v>14</v>
      </c>
      <c r="E15" t="s">
        <v>15</v>
      </c>
      <c r="F15" t="s">
        <v>22</v>
      </c>
      <c r="G15" t="s">
        <v>17</v>
      </c>
      <c r="H15" t="s">
        <v>36</v>
      </c>
      <c r="I15">
        <v>17</v>
      </c>
      <c r="J15">
        <v>1</v>
      </c>
      <c r="K15">
        <v>253000</v>
      </c>
      <c r="L15" s="1">
        <v>43845</v>
      </c>
      <c r="N15">
        <f>SUMIFS(salary_bands[salary_min],salary_bands[prof_group],G15,salary_bands[grade],I15)</f>
        <v>187000</v>
      </c>
      <c r="O15">
        <f>SUMIFS(salary_bands[salary_mid],salary_bands[prof_group],G15,salary_bands[grade],I15)</f>
        <v>220000</v>
      </c>
      <c r="P15">
        <f>SUMIFS(salary_bands[salary_max],salary_bands[prof_group],G15,salary_bands[grade],I15)</f>
        <v>253000</v>
      </c>
      <c r="Q15" t="str" cm="1">
        <f t="array" ref="Q15">_xlfn.IFS(S15&lt;N15,"ниже минимума",S15&lt;=O15,"ниже середины",S15&lt;=P15,"выше середины",S15&gt;P15,"выше максимума")</f>
        <v>выше середины</v>
      </c>
      <c r="R15">
        <f t="shared" si="3"/>
        <v>0</v>
      </c>
      <c r="S15">
        <f t="shared" si="4"/>
        <v>253000</v>
      </c>
      <c r="T15">
        <f t="shared" si="0"/>
        <v>0</v>
      </c>
      <c r="U15">
        <f t="shared" si="5"/>
        <v>0</v>
      </c>
      <c r="V15">
        <f t="shared" si="1"/>
        <v>0</v>
      </c>
      <c r="W15">
        <f t="shared" si="2"/>
        <v>0</v>
      </c>
    </row>
    <row r="16" spans="1:28" x14ac:dyDescent="0.2">
      <c r="A16">
        <v>1014</v>
      </c>
      <c r="B16" s="1">
        <v>45809</v>
      </c>
      <c r="C16" t="s">
        <v>39</v>
      </c>
      <c r="D16" t="s">
        <v>14</v>
      </c>
      <c r="E16" t="s">
        <v>15</v>
      </c>
      <c r="F16" t="s">
        <v>16</v>
      </c>
      <c r="G16" t="s">
        <v>17</v>
      </c>
      <c r="H16" t="s">
        <v>40</v>
      </c>
      <c r="I16">
        <v>18</v>
      </c>
      <c r="J16">
        <v>1</v>
      </c>
      <c r="K16">
        <v>250000</v>
      </c>
      <c r="L16" s="1">
        <v>45342</v>
      </c>
      <c r="N16">
        <f>SUMIFS(salary_bands[salary_min],salary_bands[prof_group],G16,salary_bands[grade],I16)</f>
        <v>196000</v>
      </c>
      <c r="O16">
        <f>SUMIFS(salary_bands[salary_mid],salary_bands[prof_group],G16,salary_bands[grade],I16)</f>
        <v>230000</v>
      </c>
      <c r="P16">
        <f>SUMIFS(salary_bands[salary_max],salary_bands[prof_group],G16,salary_bands[grade],I16)</f>
        <v>264000</v>
      </c>
      <c r="Q16" t="str" cm="1">
        <f t="array" ref="Q16">_xlfn.IFS(S16&lt;N16,"ниже минимума",S16&lt;=O16,"ниже середины",S16&lt;=P16,"выше середины",S16&gt;P16,"выше максимума")</f>
        <v>выше середины</v>
      </c>
      <c r="R16">
        <f t="shared" si="3"/>
        <v>0</v>
      </c>
      <c r="S16">
        <f t="shared" si="4"/>
        <v>250000</v>
      </c>
      <c r="T16">
        <f t="shared" si="0"/>
        <v>0</v>
      </c>
      <c r="U16">
        <f t="shared" si="5"/>
        <v>0</v>
      </c>
      <c r="V16">
        <f t="shared" si="1"/>
        <v>0</v>
      </c>
      <c r="W16">
        <f t="shared" si="2"/>
        <v>0</v>
      </c>
    </row>
    <row r="17" spans="1:23" x14ac:dyDescent="0.2">
      <c r="A17">
        <v>1015</v>
      </c>
      <c r="B17" s="1">
        <v>45809</v>
      </c>
      <c r="C17" t="s">
        <v>41</v>
      </c>
      <c r="D17" t="s">
        <v>14</v>
      </c>
      <c r="E17" t="s">
        <v>17</v>
      </c>
      <c r="F17" t="s">
        <v>22</v>
      </c>
      <c r="G17" t="s">
        <v>17</v>
      </c>
      <c r="H17" t="s">
        <v>40</v>
      </c>
      <c r="I17">
        <v>18</v>
      </c>
      <c r="J17">
        <v>1</v>
      </c>
      <c r="K17">
        <v>228000</v>
      </c>
      <c r="L17" s="1">
        <v>44256</v>
      </c>
      <c r="N17">
        <f>SUMIFS(salary_bands[salary_min],salary_bands[prof_group],G17,salary_bands[grade],I17)</f>
        <v>196000</v>
      </c>
      <c r="O17">
        <f>SUMIFS(salary_bands[salary_mid],salary_bands[prof_group],G17,salary_bands[grade],I17)</f>
        <v>230000</v>
      </c>
      <c r="P17">
        <f>SUMIFS(salary_bands[salary_max],salary_bands[prof_group],G17,salary_bands[grade],I17)</f>
        <v>264000</v>
      </c>
      <c r="Q17" t="str" cm="1">
        <f t="array" ref="Q17">_xlfn.IFS(S17&lt;N17,"ниже минимума",S17&lt;=O17,"ниже середины",S17&lt;=P17,"выше середины",S17&gt;P17,"выше максимума")</f>
        <v>ниже середины</v>
      </c>
      <c r="R17">
        <f t="shared" si="3"/>
        <v>0</v>
      </c>
      <c r="S17">
        <f t="shared" si="4"/>
        <v>228000</v>
      </c>
      <c r="T17">
        <f t="shared" si="0"/>
        <v>2000</v>
      </c>
      <c r="U17">
        <f t="shared" si="5"/>
        <v>0</v>
      </c>
      <c r="V17">
        <f t="shared" si="1"/>
        <v>0</v>
      </c>
      <c r="W17">
        <f>U17+V17</f>
        <v>0</v>
      </c>
    </row>
    <row r="18" spans="1:23" x14ac:dyDescent="0.2">
      <c r="A18">
        <v>1016</v>
      </c>
      <c r="B18" s="1">
        <v>45809</v>
      </c>
      <c r="C18" t="s">
        <v>42</v>
      </c>
      <c r="D18" t="s">
        <v>14</v>
      </c>
      <c r="E18" t="s">
        <v>43</v>
      </c>
      <c r="F18" t="s">
        <v>44</v>
      </c>
      <c r="G18" t="s">
        <v>45</v>
      </c>
      <c r="H18" t="s">
        <v>18</v>
      </c>
      <c r="I18">
        <v>13</v>
      </c>
      <c r="J18">
        <v>1</v>
      </c>
      <c r="K18">
        <v>163000</v>
      </c>
      <c r="L18" s="1">
        <v>44936</v>
      </c>
      <c r="N18">
        <f>SUMIFS(salary_bands[salary_min],salary_bands[prof_group],G18,salary_bands[grade],I18)</f>
        <v>141000</v>
      </c>
      <c r="O18">
        <f>SUMIFS(salary_bands[salary_mid],salary_bands[prof_group],G18,salary_bands[grade],I18)</f>
        <v>166000</v>
      </c>
      <c r="P18">
        <f>SUMIFS(salary_bands[salary_max],salary_bands[prof_group],G18,salary_bands[grade],I18)</f>
        <v>191000</v>
      </c>
      <c r="Q18" t="str" cm="1">
        <f t="array" ref="Q18">_xlfn.IFS(S18&lt;N18,"ниже минимума",S18&lt;=O18,"ниже середины",S18&lt;=P18,"выше середины",S18&gt;P18,"выше максимума")</f>
        <v>ниже середины</v>
      </c>
      <c r="R18">
        <f t="shared" si="3"/>
        <v>0</v>
      </c>
      <c r="S18">
        <f t="shared" si="4"/>
        <v>163000</v>
      </c>
      <c r="T18">
        <f t="shared" si="0"/>
        <v>3000</v>
      </c>
      <c r="U18">
        <f t="shared" si="5"/>
        <v>0</v>
      </c>
      <c r="V18">
        <f t="shared" si="1"/>
        <v>0</v>
      </c>
      <c r="W18">
        <f t="shared" si="2"/>
        <v>0</v>
      </c>
    </row>
    <row r="19" spans="1:23" x14ac:dyDescent="0.2">
      <c r="A19">
        <v>1017</v>
      </c>
      <c r="B19" s="1">
        <v>45809</v>
      </c>
      <c r="C19" t="s">
        <v>46</v>
      </c>
      <c r="D19" t="s">
        <v>14</v>
      </c>
      <c r="E19" t="s">
        <v>47</v>
      </c>
      <c r="F19" t="s">
        <v>44</v>
      </c>
      <c r="G19" t="s">
        <v>45</v>
      </c>
      <c r="H19" t="s">
        <v>18</v>
      </c>
      <c r="I19">
        <v>13</v>
      </c>
      <c r="J19">
        <v>1</v>
      </c>
      <c r="K19">
        <v>146000</v>
      </c>
      <c r="L19" s="1">
        <v>44520</v>
      </c>
      <c r="N19">
        <f>SUMIFS(salary_bands[salary_min],salary_bands[prof_group],G19,salary_bands[grade],I19)</f>
        <v>141000</v>
      </c>
      <c r="O19">
        <f>SUMIFS(salary_bands[salary_mid],salary_bands[prof_group],G19,salary_bands[grade],I19)</f>
        <v>166000</v>
      </c>
      <c r="P19">
        <f>SUMIFS(salary_bands[salary_max],salary_bands[prof_group],G19,salary_bands[grade],I19)</f>
        <v>191000</v>
      </c>
      <c r="Q19" t="str" cm="1">
        <f t="array" ref="Q19">_xlfn.IFS(S19&lt;N19,"ниже минимума",S19&lt;=O19,"ниже середины",S19&lt;=P19,"выше середины",S19&gt;P19,"выше максимума")</f>
        <v>ниже середины</v>
      </c>
      <c r="R19">
        <f t="shared" si="3"/>
        <v>0</v>
      </c>
      <c r="S19">
        <f t="shared" si="4"/>
        <v>146000</v>
      </c>
      <c r="T19">
        <f t="shared" si="0"/>
        <v>20000</v>
      </c>
      <c r="U19">
        <f t="shared" si="5"/>
        <v>0</v>
      </c>
      <c r="V19">
        <f t="shared" si="1"/>
        <v>20000</v>
      </c>
      <c r="W19">
        <f t="shared" si="2"/>
        <v>20000</v>
      </c>
    </row>
    <row r="20" spans="1:23" x14ac:dyDescent="0.2">
      <c r="A20">
        <v>1018</v>
      </c>
      <c r="B20" s="1">
        <v>45809</v>
      </c>
      <c r="C20" t="s">
        <v>48</v>
      </c>
      <c r="D20" t="s">
        <v>14</v>
      </c>
      <c r="E20" t="s">
        <v>47</v>
      </c>
      <c r="F20" t="s">
        <v>44</v>
      </c>
      <c r="G20" t="s">
        <v>45</v>
      </c>
      <c r="H20" t="s">
        <v>18</v>
      </c>
      <c r="I20">
        <v>13</v>
      </c>
      <c r="J20">
        <v>0.8</v>
      </c>
      <c r="K20">
        <v>151200</v>
      </c>
      <c r="L20" s="1">
        <v>45601</v>
      </c>
      <c r="N20">
        <f>SUMIFS(salary_bands[salary_min],salary_bands[prof_group],G20,salary_bands[grade],I20)</f>
        <v>141000</v>
      </c>
      <c r="O20">
        <f>SUMIFS(salary_bands[salary_mid],salary_bands[prof_group],G20,salary_bands[grade],I20)</f>
        <v>166000</v>
      </c>
      <c r="P20">
        <f>SUMIFS(salary_bands[salary_max],salary_bands[prof_group],G20,salary_bands[grade],I20)</f>
        <v>191000</v>
      </c>
      <c r="Q20" t="str" cm="1">
        <f t="array" ref="Q20">_xlfn.IFS(S20&lt;N20,"ниже минимума",S20&lt;=O20,"ниже середины",S20&lt;=P20,"выше середины",S20&gt;P20,"выше максимума")</f>
        <v>выше середины</v>
      </c>
      <c r="R20">
        <f t="shared" si="3"/>
        <v>0</v>
      </c>
      <c r="S20">
        <f t="shared" si="4"/>
        <v>189000</v>
      </c>
      <c r="T20">
        <f t="shared" si="0"/>
        <v>0</v>
      </c>
      <c r="U20">
        <f t="shared" si="5"/>
        <v>0</v>
      </c>
      <c r="V20">
        <f t="shared" si="1"/>
        <v>0</v>
      </c>
      <c r="W20">
        <f t="shared" si="2"/>
        <v>0</v>
      </c>
    </row>
    <row r="21" spans="1:23" x14ac:dyDescent="0.2">
      <c r="A21">
        <v>1019</v>
      </c>
      <c r="B21" s="1">
        <v>45809</v>
      </c>
      <c r="C21" t="s">
        <v>49</v>
      </c>
      <c r="D21" t="s">
        <v>14</v>
      </c>
      <c r="E21" t="s">
        <v>45</v>
      </c>
      <c r="F21" t="s">
        <v>44</v>
      </c>
      <c r="G21" t="s">
        <v>45</v>
      </c>
      <c r="H21" t="s">
        <v>23</v>
      </c>
      <c r="I21">
        <v>14</v>
      </c>
      <c r="J21">
        <v>0.6</v>
      </c>
      <c r="K21">
        <v>96600</v>
      </c>
      <c r="L21" s="1">
        <v>44256</v>
      </c>
      <c r="N21">
        <f>SUMIFS(salary_bands[salary_min],salary_bands[prof_group],G21,salary_bands[grade],I21)</f>
        <v>149000</v>
      </c>
      <c r="O21">
        <f>SUMIFS(salary_bands[salary_mid],salary_bands[prof_group],G21,salary_bands[grade],I21)</f>
        <v>175000</v>
      </c>
      <c r="P21">
        <f>SUMIFS(salary_bands[salary_max],salary_bands[prof_group],G21,salary_bands[grade],I21)</f>
        <v>201000</v>
      </c>
      <c r="Q21" t="str" cm="1">
        <f t="array" ref="Q21">_xlfn.IFS(S21&lt;N21,"ниже минимума",S21&lt;=O21,"ниже середины",S21&lt;=P21,"выше середины",S21&gt;P21,"выше максимума")</f>
        <v>ниже середины</v>
      </c>
      <c r="R21">
        <f t="shared" si="3"/>
        <v>0</v>
      </c>
      <c r="S21">
        <f t="shared" si="4"/>
        <v>161000</v>
      </c>
      <c r="T21">
        <f t="shared" si="0"/>
        <v>14000</v>
      </c>
      <c r="U21">
        <f t="shared" si="5"/>
        <v>0</v>
      </c>
      <c r="V21">
        <f t="shared" si="1"/>
        <v>8400</v>
      </c>
      <c r="W21">
        <f t="shared" si="2"/>
        <v>8400</v>
      </c>
    </row>
    <row r="22" spans="1:23" x14ac:dyDescent="0.2">
      <c r="A22">
        <v>1020</v>
      </c>
      <c r="B22" s="1">
        <v>45809</v>
      </c>
      <c r="C22" t="s">
        <v>50</v>
      </c>
      <c r="D22" t="s">
        <v>14</v>
      </c>
      <c r="E22" t="s">
        <v>43</v>
      </c>
      <c r="F22" t="s">
        <v>44</v>
      </c>
      <c r="G22" t="s">
        <v>45</v>
      </c>
      <c r="H22" t="s">
        <v>23</v>
      </c>
      <c r="I22">
        <v>14</v>
      </c>
      <c r="J22">
        <v>0.8</v>
      </c>
      <c r="K22">
        <v>151200</v>
      </c>
      <c r="L22" s="1">
        <v>44520</v>
      </c>
      <c r="N22">
        <f>SUMIFS(salary_bands[salary_min],salary_bands[prof_group],G22,salary_bands[grade],I22)</f>
        <v>149000</v>
      </c>
      <c r="O22">
        <f>SUMIFS(salary_bands[salary_mid],salary_bands[prof_group],G22,salary_bands[grade],I22)</f>
        <v>175000</v>
      </c>
      <c r="P22">
        <f>SUMIFS(salary_bands[salary_max],salary_bands[prof_group],G22,salary_bands[grade],I22)</f>
        <v>201000</v>
      </c>
      <c r="Q22" t="str" cm="1">
        <f t="array" ref="Q22">_xlfn.IFS(S22&lt;N22,"ниже минимума",S22&lt;=O22,"ниже середины",S22&lt;=P22,"выше середины",S22&gt;P22,"выше максимума")</f>
        <v>выше середины</v>
      </c>
      <c r="R22">
        <f t="shared" si="3"/>
        <v>0</v>
      </c>
      <c r="S22">
        <f t="shared" si="4"/>
        <v>189000</v>
      </c>
      <c r="T22">
        <f t="shared" si="0"/>
        <v>0</v>
      </c>
      <c r="U22">
        <f t="shared" si="5"/>
        <v>0</v>
      </c>
      <c r="V22">
        <f t="shared" si="1"/>
        <v>0</v>
      </c>
      <c r="W22">
        <f t="shared" si="2"/>
        <v>0</v>
      </c>
    </row>
    <row r="23" spans="1:23" x14ac:dyDescent="0.2">
      <c r="A23">
        <v>1021</v>
      </c>
      <c r="B23" s="1">
        <v>45809</v>
      </c>
      <c r="C23" t="s">
        <v>51</v>
      </c>
      <c r="D23" t="s">
        <v>14</v>
      </c>
      <c r="E23" t="s">
        <v>45</v>
      </c>
      <c r="F23" t="s">
        <v>44</v>
      </c>
      <c r="G23" t="s">
        <v>45</v>
      </c>
      <c r="H23" t="s">
        <v>27</v>
      </c>
      <c r="I23">
        <v>15</v>
      </c>
      <c r="J23">
        <v>0.8</v>
      </c>
      <c r="K23">
        <v>158400</v>
      </c>
      <c r="L23" s="1">
        <v>45342</v>
      </c>
      <c r="N23">
        <f>SUMIFS(salary_bands[salary_min],salary_bands[prof_group],G23,salary_bands[grade],I23)</f>
        <v>156000</v>
      </c>
      <c r="O23">
        <f>SUMIFS(salary_bands[salary_mid],salary_bands[prof_group],G23,salary_bands[grade],I23)</f>
        <v>184000</v>
      </c>
      <c r="P23">
        <f>SUMIFS(salary_bands[salary_max],salary_bands[prof_group],G23,salary_bands[grade],I23)</f>
        <v>212000</v>
      </c>
      <c r="Q23" t="str" cm="1">
        <f t="array" ref="Q23">_xlfn.IFS(S23&lt;N23,"ниже минимума",S23&lt;=O23,"ниже середины",S23&lt;=P23,"выше середины",S23&gt;P23,"выше максимума")</f>
        <v>выше середины</v>
      </c>
      <c r="R23">
        <f t="shared" si="3"/>
        <v>0</v>
      </c>
      <c r="S23">
        <f t="shared" si="4"/>
        <v>198000</v>
      </c>
      <c r="T23">
        <f t="shared" si="0"/>
        <v>0</v>
      </c>
      <c r="U23">
        <f t="shared" si="5"/>
        <v>0</v>
      </c>
      <c r="V23">
        <f t="shared" si="1"/>
        <v>0</v>
      </c>
      <c r="W23">
        <f t="shared" si="2"/>
        <v>0</v>
      </c>
    </row>
    <row r="24" spans="1:23" x14ac:dyDescent="0.2">
      <c r="A24">
        <v>1022</v>
      </c>
      <c r="B24" s="1">
        <v>45809</v>
      </c>
      <c r="C24" t="s">
        <v>52</v>
      </c>
      <c r="D24" t="s">
        <v>14</v>
      </c>
      <c r="E24" t="s">
        <v>47</v>
      </c>
      <c r="F24" t="s">
        <v>44</v>
      </c>
      <c r="G24" t="s">
        <v>45</v>
      </c>
      <c r="H24" t="s">
        <v>27</v>
      </c>
      <c r="I24">
        <v>15</v>
      </c>
      <c r="J24">
        <v>1</v>
      </c>
      <c r="K24">
        <v>185000</v>
      </c>
      <c r="L24" s="1">
        <v>44727</v>
      </c>
      <c r="N24">
        <f>SUMIFS(salary_bands[salary_min],salary_bands[prof_group],G24,salary_bands[grade],I24)</f>
        <v>156000</v>
      </c>
      <c r="O24">
        <f>SUMIFS(salary_bands[salary_mid],salary_bands[prof_group],G24,salary_bands[grade],I24)</f>
        <v>184000</v>
      </c>
      <c r="P24">
        <f>SUMIFS(salary_bands[salary_max],salary_bands[prof_group],G24,salary_bands[grade],I24)</f>
        <v>212000</v>
      </c>
      <c r="Q24" t="str" cm="1">
        <f t="array" ref="Q24">_xlfn.IFS(S24&lt;N24,"ниже минимума",S24&lt;=O24,"ниже середины",S24&lt;=P24,"выше середины",S24&gt;P24,"выше максимума")</f>
        <v>выше середины</v>
      </c>
      <c r="R24">
        <f t="shared" si="3"/>
        <v>0</v>
      </c>
      <c r="S24">
        <f t="shared" si="4"/>
        <v>185000</v>
      </c>
      <c r="T24">
        <f t="shared" si="0"/>
        <v>0</v>
      </c>
      <c r="U24">
        <f t="shared" si="5"/>
        <v>0</v>
      </c>
      <c r="V24">
        <f t="shared" si="1"/>
        <v>0</v>
      </c>
      <c r="W24">
        <f t="shared" si="2"/>
        <v>0</v>
      </c>
    </row>
    <row r="25" spans="1:23" x14ac:dyDescent="0.2">
      <c r="A25">
        <v>1023</v>
      </c>
      <c r="B25" s="1">
        <v>45809</v>
      </c>
      <c r="C25" t="s">
        <v>53</v>
      </c>
      <c r="D25" t="s">
        <v>14</v>
      </c>
      <c r="E25" t="s">
        <v>43</v>
      </c>
      <c r="F25" t="s">
        <v>44</v>
      </c>
      <c r="G25" t="s">
        <v>45</v>
      </c>
      <c r="H25" t="s">
        <v>27</v>
      </c>
      <c r="I25">
        <v>15</v>
      </c>
      <c r="J25">
        <v>1</v>
      </c>
      <c r="K25">
        <v>189000</v>
      </c>
      <c r="L25" s="1">
        <v>43845</v>
      </c>
      <c r="N25">
        <f>SUMIFS(salary_bands[salary_min],salary_bands[prof_group],G25,salary_bands[grade],I25)</f>
        <v>156000</v>
      </c>
      <c r="O25">
        <f>SUMIFS(salary_bands[salary_mid],salary_bands[prof_group],G25,salary_bands[grade],I25)</f>
        <v>184000</v>
      </c>
      <c r="P25">
        <f>SUMIFS(salary_bands[salary_max],salary_bands[prof_group],G25,salary_bands[grade],I25)</f>
        <v>212000</v>
      </c>
      <c r="Q25" t="str" cm="1">
        <f t="array" ref="Q25">_xlfn.IFS(S25&lt;N25,"ниже минимума",S25&lt;=O25,"ниже середины",S25&lt;=P25,"выше середины",S25&gt;P25,"выше максимума")</f>
        <v>выше середины</v>
      </c>
      <c r="R25">
        <f t="shared" si="3"/>
        <v>0</v>
      </c>
      <c r="S25">
        <f t="shared" si="4"/>
        <v>189000</v>
      </c>
      <c r="T25">
        <f t="shared" si="0"/>
        <v>0</v>
      </c>
      <c r="U25">
        <f t="shared" si="5"/>
        <v>0</v>
      </c>
      <c r="V25">
        <f t="shared" si="1"/>
        <v>0</v>
      </c>
      <c r="W25">
        <f t="shared" si="2"/>
        <v>0</v>
      </c>
    </row>
    <row r="26" spans="1:23" x14ac:dyDescent="0.2">
      <c r="A26">
        <v>1024</v>
      </c>
      <c r="B26" s="1">
        <v>45809</v>
      </c>
      <c r="C26" t="s">
        <v>54</v>
      </c>
      <c r="D26" t="s">
        <v>14</v>
      </c>
      <c r="E26" t="s">
        <v>47</v>
      </c>
      <c r="F26" t="s">
        <v>44</v>
      </c>
      <c r="G26" t="s">
        <v>45</v>
      </c>
      <c r="H26" t="s">
        <v>31</v>
      </c>
      <c r="I26">
        <v>16</v>
      </c>
      <c r="J26">
        <v>1</v>
      </c>
      <c r="K26">
        <v>217000</v>
      </c>
      <c r="L26" s="1">
        <v>44727</v>
      </c>
      <c r="N26">
        <f>SUMIFS(salary_bands[salary_min],salary_bands[prof_group],G26,salary_bands[grade],I26)</f>
        <v>164000</v>
      </c>
      <c r="O26">
        <f>SUMIFS(salary_bands[salary_mid],salary_bands[prof_group],G26,salary_bands[grade],I26)</f>
        <v>193000</v>
      </c>
      <c r="P26">
        <f>SUMIFS(salary_bands[salary_max],salary_bands[prof_group],G26,salary_bands[grade],I26)</f>
        <v>222000</v>
      </c>
      <c r="Q26" t="str" cm="1">
        <f t="array" ref="Q26">_xlfn.IFS(S26&lt;N26,"ниже минимума",S26&lt;=O26,"ниже середины",S26&lt;=P26,"выше середины",S26&gt;P26,"выше максимума")</f>
        <v>выше середины</v>
      </c>
      <c r="R26">
        <f t="shared" si="3"/>
        <v>0</v>
      </c>
      <c r="S26">
        <f t="shared" si="4"/>
        <v>217000</v>
      </c>
      <c r="T26">
        <f t="shared" si="0"/>
        <v>0</v>
      </c>
      <c r="U26">
        <f t="shared" si="5"/>
        <v>0</v>
      </c>
      <c r="V26">
        <f t="shared" si="1"/>
        <v>0</v>
      </c>
      <c r="W26">
        <f t="shared" si="2"/>
        <v>0</v>
      </c>
    </row>
    <row r="27" spans="1:23" x14ac:dyDescent="0.2">
      <c r="A27">
        <v>1025</v>
      </c>
      <c r="B27" s="1">
        <v>45809</v>
      </c>
      <c r="C27" t="s">
        <v>55</v>
      </c>
      <c r="D27" t="s">
        <v>14</v>
      </c>
      <c r="E27" t="s">
        <v>47</v>
      </c>
      <c r="F27" t="s">
        <v>44</v>
      </c>
      <c r="G27" t="s">
        <v>45</v>
      </c>
      <c r="H27" t="s">
        <v>31</v>
      </c>
      <c r="I27">
        <v>16</v>
      </c>
      <c r="J27">
        <v>1</v>
      </c>
      <c r="K27">
        <v>176000</v>
      </c>
      <c r="L27" s="1">
        <v>44727</v>
      </c>
      <c r="N27">
        <f>SUMIFS(salary_bands[salary_min],salary_bands[prof_group],G27,salary_bands[grade],I27)</f>
        <v>164000</v>
      </c>
      <c r="O27">
        <f>SUMIFS(salary_bands[salary_mid],salary_bands[prof_group],G27,salary_bands[grade],I27)</f>
        <v>193000</v>
      </c>
      <c r="P27">
        <f>SUMIFS(salary_bands[salary_max],salary_bands[prof_group],G27,salary_bands[grade],I27)</f>
        <v>222000</v>
      </c>
      <c r="Q27" t="str" cm="1">
        <f t="array" ref="Q27">_xlfn.IFS(S27&lt;N27,"ниже минимума",S27&lt;=O27,"ниже середины",S27&lt;=P27,"выше середины",S27&gt;P27,"выше максимума")</f>
        <v>ниже середины</v>
      </c>
      <c r="R27">
        <f t="shared" si="3"/>
        <v>0</v>
      </c>
      <c r="S27">
        <f t="shared" si="4"/>
        <v>176000</v>
      </c>
      <c r="T27">
        <f t="shared" si="0"/>
        <v>17000</v>
      </c>
      <c r="U27">
        <f t="shared" si="5"/>
        <v>0</v>
      </c>
      <c r="V27">
        <f t="shared" si="1"/>
        <v>17000</v>
      </c>
      <c r="W27">
        <f t="shared" si="2"/>
        <v>17000</v>
      </c>
    </row>
    <row r="28" spans="1:23" x14ac:dyDescent="0.2">
      <c r="A28">
        <v>1026</v>
      </c>
      <c r="B28" s="1">
        <v>45809</v>
      </c>
      <c r="C28" t="s">
        <v>56</v>
      </c>
      <c r="D28" t="s">
        <v>14</v>
      </c>
      <c r="E28" t="s">
        <v>47</v>
      </c>
      <c r="F28" t="s">
        <v>44</v>
      </c>
      <c r="G28" t="s">
        <v>45</v>
      </c>
      <c r="H28" t="s">
        <v>36</v>
      </c>
      <c r="I28">
        <v>17</v>
      </c>
      <c r="J28">
        <v>1</v>
      </c>
      <c r="K28">
        <v>178000</v>
      </c>
      <c r="L28" s="1">
        <v>45342</v>
      </c>
      <c r="N28">
        <f>SUMIFS(salary_bands[salary_min],salary_bands[prof_group],G28,salary_bands[grade],I28)</f>
        <v>172000</v>
      </c>
      <c r="O28">
        <f>SUMIFS(salary_bands[salary_mid],salary_bands[prof_group],G28,salary_bands[grade],I28)</f>
        <v>202000</v>
      </c>
      <c r="P28">
        <f>SUMIFS(salary_bands[salary_max],salary_bands[prof_group],G28,salary_bands[grade],I28)</f>
        <v>232000</v>
      </c>
      <c r="Q28" t="str" cm="1">
        <f t="array" ref="Q28">_xlfn.IFS(S28&lt;N28,"ниже минимума",S28&lt;=O28,"ниже середины",S28&lt;=P28,"выше середины",S28&gt;P28,"выше максимума")</f>
        <v>ниже середины</v>
      </c>
      <c r="R28">
        <f t="shared" si="3"/>
        <v>0</v>
      </c>
      <c r="S28">
        <f t="shared" si="4"/>
        <v>178000</v>
      </c>
      <c r="T28">
        <f t="shared" si="0"/>
        <v>24000</v>
      </c>
      <c r="U28">
        <f t="shared" si="5"/>
        <v>0</v>
      </c>
      <c r="V28">
        <f t="shared" si="1"/>
        <v>24000</v>
      </c>
      <c r="W28">
        <f t="shared" si="2"/>
        <v>24000</v>
      </c>
    </row>
    <row r="29" spans="1:23" x14ac:dyDescent="0.2">
      <c r="A29">
        <v>1027</v>
      </c>
      <c r="B29" s="1">
        <v>45809</v>
      </c>
      <c r="C29" t="s">
        <v>57</v>
      </c>
      <c r="D29" t="s">
        <v>14</v>
      </c>
      <c r="E29" t="s">
        <v>47</v>
      </c>
      <c r="F29" t="s">
        <v>44</v>
      </c>
      <c r="G29" t="s">
        <v>45</v>
      </c>
      <c r="H29" t="s">
        <v>36</v>
      </c>
      <c r="I29">
        <v>17</v>
      </c>
      <c r="J29">
        <v>1</v>
      </c>
      <c r="K29">
        <v>216000</v>
      </c>
      <c r="L29" s="1">
        <v>45342</v>
      </c>
      <c r="N29">
        <f>SUMIFS(salary_bands[salary_min],salary_bands[prof_group],G29,salary_bands[grade],I29)</f>
        <v>172000</v>
      </c>
      <c r="O29">
        <f>SUMIFS(salary_bands[salary_mid],salary_bands[prof_group],G29,salary_bands[grade],I29)</f>
        <v>202000</v>
      </c>
      <c r="P29">
        <f>SUMIFS(salary_bands[salary_max],salary_bands[prof_group],G29,salary_bands[grade],I29)</f>
        <v>232000</v>
      </c>
      <c r="Q29" t="str" cm="1">
        <f t="array" ref="Q29">_xlfn.IFS(S29&lt;N29,"ниже минимума",S29&lt;=O29,"ниже середины",S29&lt;=P29,"выше середины",S29&gt;P29,"выше максимума")</f>
        <v>выше середины</v>
      </c>
      <c r="R29">
        <f t="shared" si="3"/>
        <v>0</v>
      </c>
      <c r="S29">
        <f t="shared" si="4"/>
        <v>216000</v>
      </c>
      <c r="T29">
        <f t="shared" si="0"/>
        <v>0</v>
      </c>
      <c r="U29">
        <f t="shared" si="5"/>
        <v>0</v>
      </c>
      <c r="V29">
        <f t="shared" si="1"/>
        <v>0</v>
      </c>
      <c r="W29">
        <f t="shared" si="2"/>
        <v>0</v>
      </c>
    </row>
    <row r="30" spans="1:23" x14ac:dyDescent="0.2">
      <c r="A30">
        <v>1028</v>
      </c>
      <c r="B30" s="1">
        <v>45809</v>
      </c>
      <c r="C30" t="s">
        <v>58</v>
      </c>
      <c r="D30" t="s">
        <v>14</v>
      </c>
      <c r="E30" t="s">
        <v>45</v>
      </c>
      <c r="F30" t="s">
        <v>44</v>
      </c>
      <c r="G30" t="s">
        <v>45</v>
      </c>
      <c r="H30" t="s">
        <v>36</v>
      </c>
      <c r="I30">
        <v>17</v>
      </c>
      <c r="J30">
        <v>0.3</v>
      </c>
      <c r="K30">
        <v>56100</v>
      </c>
      <c r="L30" s="1">
        <v>44520</v>
      </c>
      <c r="N30">
        <f>SUMIFS(salary_bands[salary_min],salary_bands[prof_group],G30,salary_bands[grade],I30)</f>
        <v>172000</v>
      </c>
      <c r="O30">
        <f>SUMIFS(salary_bands[salary_mid],salary_bands[prof_group],G30,salary_bands[grade],I30)</f>
        <v>202000</v>
      </c>
      <c r="P30">
        <f>SUMIFS(salary_bands[salary_max],salary_bands[prof_group],G30,salary_bands[grade],I30)</f>
        <v>232000</v>
      </c>
      <c r="Q30" t="str" cm="1">
        <f t="array" ref="Q30">_xlfn.IFS(S30&lt;N30,"ниже минимума",S30&lt;=O30,"ниже середины",S30&lt;=P30,"выше середины",S30&gt;P30,"выше максимума")</f>
        <v>ниже середины</v>
      </c>
      <c r="R30">
        <f t="shared" si="3"/>
        <v>0</v>
      </c>
      <c r="S30">
        <f t="shared" si="4"/>
        <v>187000</v>
      </c>
      <c r="T30">
        <f t="shared" si="0"/>
        <v>15000</v>
      </c>
      <c r="U30">
        <f t="shared" si="5"/>
        <v>0</v>
      </c>
      <c r="V30">
        <f t="shared" si="1"/>
        <v>4500</v>
      </c>
      <c r="W30">
        <f t="shared" si="2"/>
        <v>4500</v>
      </c>
    </row>
    <row r="31" spans="1:23" x14ac:dyDescent="0.2">
      <c r="A31">
        <v>1029</v>
      </c>
      <c r="B31" s="1">
        <v>45809</v>
      </c>
      <c r="C31" t="s">
        <v>59</v>
      </c>
      <c r="D31" t="s">
        <v>14</v>
      </c>
      <c r="E31" t="s">
        <v>45</v>
      </c>
      <c r="F31" t="s">
        <v>44</v>
      </c>
      <c r="G31" t="s">
        <v>45</v>
      </c>
      <c r="H31" t="s">
        <v>36</v>
      </c>
      <c r="I31">
        <v>17</v>
      </c>
      <c r="J31">
        <v>1</v>
      </c>
      <c r="K31">
        <v>200000</v>
      </c>
      <c r="L31" s="1">
        <v>44256</v>
      </c>
      <c r="N31">
        <f>SUMIFS(salary_bands[salary_min],salary_bands[prof_group],G31,salary_bands[grade],I31)</f>
        <v>172000</v>
      </c>
      <c r="O31">
        <f>SUMIFS(salary_bands[salary_mid],salary_bands[prof_group],G31,salary_bands[grade],I31)</f>
        <v>202000</v>
      </c>
      <c r="P31">
        <f>SUMIFS(salary_bands[salary_max],salary_bands[prof_group],G31,salary_bands[grade],I31)</f>
        <v>232000</v>
      </c>
      <c r="Q31" t="str" cm="1">
        <f t="array" ref="Q31">_xlfn.IFS(S31&lt;N31,"ниже минимума",S31&lt;=O31,"ниже середины",S31&lt;=P31,"выше середины",S31&gt;P31,"выше максимума")</f>
        <v>ниже середины</v>
      </c>
      <c r="R31">
        <f t="shared" si="3"/>
        <v>0</v>
      </c>
      <c r="S31">
        <f t="shared" si="4"/>
        <v>200000</v>
      </c>
      <c r="T31">
        <f t="shared" si="0"/>
        <v>2000</v>
      </c>
      <c r="U31">
        <f t="shared" si="5"/>
        <v>0</v>
      </c>
      <c r="V31">
        <f t="shared" si="1"/>
        <v>0</v>
      </c>
      <c r="W31">
        <f t="shared" si="2"/>
        <v>0</v>
      </c>
    </row>
    <row r="32" spans="1:23" x14ac:dyDescent="0.2">
      <c r="A32">
        <v>1030</v>
      </c>
      <c r="B32" s="1">
        <v>45809</v>
      </c>
      <c r="C32" t="s">
        <v>60</v>
      </c>
      <c r="D32" t="s">
        <v>14</v>
      </c>
      <c r="E32" t="s">
        <v>61</v>
      </c>
      <c r="F32" t="s">
        <v>44</v>
      </c>
      <c r="G32" t="s">
        <v>61</v>
      </c>
      <c r="H32" t="s">
        <v>18</v>
      </c>
      <c r="I32">
        <v>13</v>
      </c>
      <c r="J32">
        <v>0.5</v>
      </c>
      <c r="K32">
        <v>71000</v>
      </c>
      <c r="L32" s="1">
        <v>44727</v>
      </c>
      <c r="N32">
        <f>SUMIFS(salary_bands[salary_min],salary_bands[prof_group],G32,salary_bands[grade],I32)</f>
        <v>134000</v>
      </c>
      <c r="O32">
        <f>SUMIFS(salary_bands[salary_mid],salary_bands[prof_group],G32,salary_bands[grade],I32)</f>
        <v>158000</v>
      </c>
      <c r="P32">
        <f>SUMIFS(salary_bands[salary_max],salary_bands[prof_group],G32,salary_bands[grade],I32)</f>
        <v>182000</v>
      </c>
      <c r="Q32" t="str" cm="1">
        <f t="array" ref="Q32">_xlfn.IFS(S32&lt;N32,"ниже минимума",S32&lt;=O32,"ниже середины",S32&lt;=P32,"выше середины",S32&gt;P32,"выше максимума")</f>
        <v>ниже середины</v>
      </c>
      <c r="R32">
        <f t="shared" si="3"/>
        <v>0</v>
      </c>
      <c r="S32">
        <f t="shared" si="4"/>
        <v>142000</v>
      </c>
      <c r="T32">
        <f t="shared" si="0"/>
        <v>16000</v>
      </c>
      <c r="U32">
        <f t="shared" si="5"/>
        <v>0</v>
      </c>
      <c r="V32">
        <f t="shared" si="1"/>
        <v>8000</v>
      </c>
      <c r="W32">
        <f t="shared" si="2"/>
        <v>8000</v>
      </c>
    </row>
    <row r="33" spans="1:23" x14ac:dyDescent="0.2">
      <c r="A33">
        <v>1031</v>
      </c>
      <c r="B33" s="1">
        <v>45809</v>
      </c>
      <c r="C33" t="s">
        <v>62</v>
      </c>
      <c r="D33" t="s">
        <v>14</v>
      </c>
      <c r="E33" t="s">
        <v>61</v>
      </c>
      <c r="F33" t="s">
        <v>44</v>
      </c>
      <c r="G33" t="s">
        <v>61</v>
      </c>
      <c r="H33" t="s">
        <v>18</v>
      </c>
      <c r="I33">
        <v>13</v>
      </c>
      <c r="J33">
        <v>0.5</v>
      </c>
      <c r="K33">
        <v>76000</v>
      </c>
      <c r="L33" s="1">
        <v>45601</v>
      </c>
      <c r="N33">
        <f>SUMIFS(salary_bands[salary_min],salary_bands[prof_group],G33,salary_bands[grade],I33)</f>
        <v>134000</v>
      </c>
      <c r="O33">
        <f>SUMIFS(salary_bands[salary_mid],salary_bands[prof_group],G33,salary_bands[grade],I33)</f>
        <v>158000</v>
      </c>
      <c r="P33">
        <f>SUMIFS(salary_bands[salary_max],salary_bands[prof_group],G33,salary_bands[grade],I33)</f>
        <v>182000</v>
      </c>
      <c r="Q33" t="str" cm="1">
        <f t="array" ref="Q33">_xlfn.IFS(S33&lt;N33,"ниже минимума",S33&lt;=O33,"ниже середины",S33&lt;=P33,"выше середины",S33&gt;P33,"выше максимума")</f>
        <v>ниже середины</v>
      </c>
      <c r="R33">
        <f t="shared" si="3"/>
        <v>0</v>
      </c>
      <c r="S33">
        <f t="shared" si="4"/>
        <v>152000</v>
      </c>
      <c r="T33">
        <f t="shared" si="0"/>
        <v>6000</v>
      </c>
      <c r="U33">
        <f t="shared" si="5"/>
        <v>0</v>
      </c>
      <c r="V33">
        <f t="shared" si="1"/>
        <v>3000</v>
      </c>
      <c r="W33">
        <f>U33+V33</f>
        <v>3000</v>
      </c>
    </row>
    <row r="34" spans="1:23" x14ac:dyDescent="0.2">
      <c r="A34">
        <v>1032</v>
      </c>
      <c r="B34" s="1">
        <v>45809</v>
      </c>
      <c r="C34" t="s">
        <v>63</v>
      </c>
      <c r="D34" t="s">
        <v>14</v>
      </c>
      <c r="E34" t="s">
        <v>61</v>
      </c>
      <c r="F34" t="s">
        <v>44</v>
      </c>
      <c r="G34" t="s">
        <v>61</v>
      </c>
      <c r="H34" t="s">
        <v>23</v>
      </c>
      <c r="I34">
        <v>14</v>
      </c>
      <c r="J34">
        <v>1</v>
      </c>
      <c r="K34">
        <v>179000</v>
      </c>
      <c r="L34" s="1">
        <v>44727</v>
      </c>
      <c r="N34">
        <f>SUMIFS(salary_bands[salary_min],salary_bands[prof_group],G34,salary_bands[grade],I34)</f>
        <v>142000</v>
      </c>
      <c r="O34">
        <f>SUMIFS(salary_bands[salary_mid],salary_bands[prof_group],G34,salary_bands[grade],I34)</f>
        <v>167000</v>
      </c>
      <c r="P34">
        <f>SUMIFS(salary_bands[salary_max],salary_bands[prof_group],G34,salary_bands[grade],I34)</f>
        <v>192000</v>
      </c>
      <c r="Q34" t="str" cm="1">
        <f t="array" ref="Q34">_xlfn.IFS(S34&lt;N34,"ниже минимума",S34&lt;=O34,"ниже середины",S34&lt;=P34,"выше середины",S34&gt;P34,"выше максимума")</f>
        <v>выше середины</v>
      </c>
      <c r="R34">
        <f t="shared" si="3"/>
        <v>0</v>
      </c>
      <c r="S34">
        <f t="shared" si="4"/>
        <v>179000</v>
      </c>
      <c r="T34">
        <f t="shared" ref="T34:T65" si="6">IF(S34&lt;O34,O34-S34,0)</f>
        <v>0</v>
      </c>
      <c r="U34">
        <f t="shared" si="5"/>
        <v>0</v>
      </c>
      <c r="V34">
        <f t="shared" ref="V34:V65" si="7">IF(AND(R34=0, T34&gt;3000), T34*J34, 0)</f>
        <v>0</v>
      </c>
      <c r="W34">
        <f t="shared" ref="W34:W65" si="8">U34+V34</f>
        <v>0</v>
      </c>
    </row>
    <row r="35" spans="1:23" x14ac:dyDescent="0.2">
      <c r="A35">
        <v>1033</v>
      </c>
      <c r="B35" s="1">
        <v>45809</v>
      </c>
      <c r="C35" t="s">
        <v>64</v>
      </c>
      <c r="D35" t="s">
        <v>14</v>
      </c>
      <c r="E35" t="s">
        <v>61</v>
      </c>
      <c r="F35" t="s">
        <v>44</v>
      </c>
      <c r="G35" t="s">
        <v>61</v>
      </c>
      <c r="H35" t="s">
        <v>23</v>
      </c>
      <c r="I35">
        <v>14</v>
      </c>
      <c r="J35">
        <v>1</v>
      </c>
      <c r="K35">
        <v>145000</v>
      </c>
      <c r="L35" s="1">
        <v>43845</v>
      </c>
      <c r="N35">
        <f>SUMIFS(salary_bands[salary_min],salary_bands[prof_group],G35,salary_bands[grade],I35)</f>
        <v>142000</v>
      </c>
      <c r="O35">
        <f>SUMIFS(salary_bands[salary_mid],salary_bands[prof_group],G35,salary_bands[grade],I35)</f>
        <v>167000</v>
      </c>
      <c r="P35">
        <f>SUMIFS(salary_bands[salary_max],salary_bands[prof_group],G35,salary_bands[grade],I35)</f>
        <v>192000</v>
      </c>
      <c r="Q35" t="str" cm="1">
        <f t="array" ref="Q35">_xlfn.IFS(S35&lt;N35,"ниже минимума",S35&lt;=O35,"ниже середины",S35&lt;=P35,"выше середины",S35&gt;P35,"выше максимума")</f>
        <v>ниже середины</v>
      </c>
      <c r="R35">
        <f t="shared" si="3"/>
        <v>0</v>
      </c>
      <c r="S35">
        <f t="shared" si="4"/>
        <v>145000</v>
      </c>
      <c r="T35">
        <f t="shared" si="6"/>
        <v>22000</v>
      </c>
      <c r="U35">
        <f t="shared" si="5"/>
        <v>0</v>
      </c>
      <c r="V35">
        <f t="shared" si="7"/>
        <v>22000</v>
      </c>
      <c r="W35">
        <f t="shared" si="8"/>
        <v>22000</v>
      </c>
    </row>
    <row r="36" spans="1:23" x14ac:dyDescent="0.2">
      <c r="A36">
        <v>1034</v>
      </c>
      <c r="B36" s="1">
        <v>45809</v>
      </c>
      <c r="C36" t="s">
        <v>65</v>
      </c>
      <c r="D36" t="s">
        <v>14</v>
      </c>
      <c r="E36" t="s">
        <v>61</v>
      </c>
      <c r="F36" t="s">
        <v>44</v>
      </c>
      <c r="G36" t="s">
        <v>61</v>
      </c>
      <c r="H36" t="s">
        <v>23</v>
      </c>
      <c r="I36">
        <v>14</v>
      </c>
      <c r="J36">
        <v>1</v>
      </c>
      <c r="K36">
        <v>167000</v>
      </c>
      <c r="L36" s="1">
        <v>44256</v>
      </c>
      <c r="N36">
        <f>SUMIFS(salary_bands[salary_min],salary_bands[prof_group],G36,salary_bands[grade],I36)</f>
        <v>142000</v>
      </c>
      <c r="O36">
        <f>SUMIFS(salary_bands[salary_mid],salary_bands[prof_group],G36,salary_bands[grade],I36)</f>
        <v>167000</v>
      </c>
      <c r="P36">
        <f>SUMIFS(salary_bands[salary_max],salary_bands[prof_group],G36,salary_bands[grade],I36)</f>
        <v>192000</v>
      </c>
      <c r="Q36" t="str" cm="1">
        <f t="array" ref="Q36">_xlfn.IFS(S36&lt;N36,"ниже минимума",S36&lt;=O36,"ниже середины",S36&lt;=P36,"выше середины",S36&gt;P36,"выше максимума")</f>
        <v>ниже середины</v>
      </c>
      <c r="R36">
        <f t="shared" si="3"/>
        <v>0</v>
      </c>
      <c r="S36">
        <f t="shared" si="4"/>
        <v>167000</v>
      </c>
      <c r="T36">
        <f t="shared" si="6"/>
        <v>0</v>
      </c>
      <c r="U36">
        <f t="shared" si="5"/>
        <v>0</v>
      </c>
      <c r="V36">
        <f t="shared" si="7"/>
        <v>0</v>
      </c>
      <c r="W36">
        <f t="shared" si="8"/>
        <v>0</v>
      </c>
    </row>
    <row r="37" spans="1:23" x14ac:dyDescent="0.2">
      <c r="A37">
        <v>1035</v>
      </c>
      <c r="B37" s="1">
        <v>45809</v>
      </c>
      <c r="C37" t="s">
        <v>66</v>
      </c>
      <c r="D37" t="s">
        <v>14</v>
      </c>
      <c r="E37" t="s">
        <v>61</v>
      </c>
      <c r="F37" t="s">
        <v>44</v>
      </c>
      <c r="G37" t="s">
        <v>61</v>
      </c>
      <c r="H37" t="s">
        <v>27</v>
      </c>
      <c r="I37">
        <v>15</v>
      </c>
      <c r="J37">
        <v>1</v>
      </c>
      <c r="K37">
        <v>185000</v>
      </c>
      <c r="L37" s="1">
        <v>44256</v>
      </c>
      <c r="N37">
        <f>SUMIFS(salary_bands[salary_min],salary_bands[prof_group],G37,salary_bands[grade],I37)</f>
        <v>150000</v>
      </c>
      <c r="O37">
        <f>SUMIFS(salary_bands[salary_mid],salary_bands[prof_group],G37,salary_bands[grade],I37)</f>
        <v>176000</v>
      </c>
      <c r="P37">
        <f>SUMIFS(salary_bands[salary_max],salary_bands[prof_group],G37,salary_bands[grade],I37)</f>
        <v>202000</v>
      </c>
      <c r="Q37" t="str" cm="1">
        <f t="array" ref="Q37">_xlfn.IFS(S37&lt;N37,"ниже минимума",S37&lt;=O37,"ниже середины",S37&lt;=P37,"выше середины",S37&gt;P37,"выше максимума")</f>
        <v>выше середины</v>
      </c>
      <c r="R37">
        <f t="shared" si="3"/>
        <v>0</v>
      </c>
      <c r="S37">
        <f t="shared" si="4"/>
        <v>185000</v>
      </c>
      <c r="T37">
        <f t="shared" si="6"/>
        <v>0</v>
      </c>
      <c r="U37">
        <f t="shared" si="5"/>
        <v>0</v>
      </c>
      <c r="V37">
        <f t="shared" si="7"/>
        <v>0</v>
      </c>
      <c r="W37">
        <f t="shared" si="8"/>
        <v>0</v>
      </c>
    </row>
    <row r="38" spans="1:23" x14ac:dyDescent="0.2">
      <c r="A38">
        <v>1036</v>
      </c>
      <c r="B38" s="1">
        <v>45809</v>
      </c>
      <c r="C38" t="s">
        <v>67</v>
      </c>
      <c r="D38" t="s">
        <v>14</v>
      </c>
      <c r="E38" t="s">
        <v>61</v>
      </c>
      <c r="F38" t="s">
        <v>44</v>
      </c>
      <c r="G38" t="s">
        <v>61</v>
      </c>
      <c r="H38" t="s">
        <v>27</v>
      </c>
      <c r="I38">
        <v>15</v>
      </c>
      <c r="J38">
        <v>1</v>
      </c>
      <c r="K38">
        <v>152000</v>
      </c>
      <c r="L38" s="1">
        <v>45170</v>
      </c>
      <c r="N38">
        <f>SUMIFS(salary_bands[salary_min],salary_bands[prof_group],G38,salary_bands[grade],I38)</f>
        <v>150000</v>
      </c>
      <c r="O38">
        <f>SUMIFS(salary_bands[salary_mid],salary_bands[prof_group],G38,salary_bands[grade],I38)</f>
        <v>176000</v>
      </c>
      <c r="P38">
        <f>SUMIFS(salary_bands[salary_max],salary_bands[prof_group],G38,salary_bands[grade],I38)</f>
        <v>202000</v>
      </c>
      <c r="Q38" t="str" cm="1">
        <f t="array" ref="Q38">_xlfn.IFS(S38&lt;N38,"ниже минимума",S38&lt;=O38,"ниже середины",S38&lt;=P38,"выше середины",S38&gt;P38,"выше максимума")</f>
        <v>ниже середины</v>
      </c>
      <c r="R38">
        <f t="shared" si="3"/>
        <v>0</v>
      </c>
      <c r="S38">
        <f t="shared" si="4"/>
        <v>152000</v>
      </c>
      <c r="T38">
        <f t="shared" si="6"/>
        <v>24000</v>
      </c>
      <c r="U38">
        <f t="shared" si="5"/>
        <v>0</v>
      </c>
      <c r="V38">
        <f t="shared" si="7"/>
        <v>24000</v>
      </c>
      <c r="W38">
        <f t="shared" si="8"/>
        <v>24000</v>
      </c>
    </row>
    <row r="39" spans="1:23" x14ac:dyDescent="0.2">
      <c r="A39">
        <v>1037</v>
      </c>
      <c r="B39" s="1">
        <v>45809</v>
      </c>
      <c r="C39" t="s">
        <v>68</v>
      </c>
      <c r="D39" t="s">
        <v>14</v>
      </c>
      <c r="E39" t="s">
        <v>61</v>
      </c>
      <c r="F39" t="s">
        <v>44</v>
      </c>
      <c r="G39" t="s">
        <v>61</v>
      </c>
      <c r="H39" t="s">
        <v>27</v>
      </c>
      <c r="I39">
        <v>15</v>
      </c>
      <c r="J39">
        <v>1</v>
      </c>
      <c r="K39">
        <v>187000</v>
      </c>
      <c r="L39" s="1">
        <v>45342</v>
      </c>
      <c r="N39">
        <f>SUMIFS(salary_bands[salary_min],salary_bands[prof_group],G39,salary_bands[grade],I39)</f>
        <v>150000</v>
      </c>
      <c r="O39">
        <f>SUMIFS(salary_bands[salary_mid],salary_bands[prof_group],G39,salary_bands[grade],I39)</f>
        <v>176000</v>
      </c>
      <c r="P39">
        <f>SUMIFS(salary_bands[salary_max],salary_bands[prof_group],G39,salary_bands[grade],I39)</f>
        <v>202000</v>
      </c>
      <c r="Q39" t="str" cm="1">
        <f t="array" ref="Q39">_xlfn.IFS(S39&lt;N39,"ниже минимума",S39&lt;=O39,"ниже середины",S39&lt;=P39,"выше середины",S39&gt;P39,"выше максимума")</f>
        <v>выше середины</v>
      </c>
      <c r="R39">
        <f t="shared" si="3"/>
        <v>0</v>
      </c>
      <c r="S39">
        <f t="shared" si="4"/>
        <v>187000</v>
      </c>
      <c r="T39">
        <f t="shared" si="6"/>
        <v>0</v>
      </c>
      <c r="U39">
        <f t="shared" si="5"/>
        <v>0</v>
      </c>
      <c r="V39">
        <f t="shared" si="7"/>
        <v>0</v>
      </c>
      <c r="W39">
        <f t="shared" si="8"/>
        <v>0</v>
      </c>
    </row>
    <row r="40" spans="1:23" x14ac:dyDescent="0.2">
      <c r="A40">
        <v>1038</v>
      </c>
      <c r="B40" s="1">
        <v>45809</v>
      </c>
      <c r="C40" t="s">
        <v>69</v>
      </c>
      <c r="D40" t="s">
        <v>14</v>
      </c>
      <c r="E40" t="s">
        <v>61</v>
      </c>
      <c r="F40" t="s">
        <v>44</v>
      </c>
      <c r="G40" t="s">
        <v>61</v>
      </c>
      <c r="H40" t="s">
        <v>31</v>
      </c>
      <c r="I40">
        <v>16</v>
      </c>
      <c r="J40">
        <v>1</v>
      </c>
      <c r="K40">
        <v>209000</v>
      </c>
      <c r="L40" s="1">
        <v>45601</v>
      </c>
      <c r="N40">
        <f>SUMIFS(salary_bands[salary_min],salary_bands[prof_group],G40,salary_bands[grade],I40)</f>
        <v>157000</v>
      </c>
      <c r="O40">
        <f>SUMIFS(salary_bands[salary_mid],salary_bands[prof_group],G40,salary_bands[grade],I40)</f>
        <v>185000</v>
      </c>
      <c r="P40">
        <f>SUMIFS(salary_bands[salary_max],salary_bands[prof_group],G40,salary_bands[grade],I40)</f>
        <v>213000</v>
      </c>
      <c r="Q40" t="str" cm="1">
        <f t="array" ref="Q40">_xlfn.IFS(S40&lt;N40,"ниже минимума",S40&lt;=O40,"ниже середины",S40&lt;=P40,"выше середины",S40&gt;P40,"выше максимума")</f>
        <v>выше середины</v>
      </c>
      <c r="R40">
        <f t="shared" si="3"/>
        <v>0</v>
      </c>
      <c r="S40">
        <f t="shared" si="4"/>
        <v>209000</v>
      </c>
      <c r="T40">
        <f t="shared" si="6"/>
        <v>0</v>
      </c>
      <c r="U40">
        <f t="shared" si="5"/>
        <v>0</v>
      </c>
      <c r="V40">
        <f t="shared" si="7"/>
        <v>0</v>
      </c>
      <c r="W40">
        <f t="shared" si="8"/>
        <v>0</v>
      </c>
    </row>
    <row r="41" spans="1:23" x14ac:dyDescent="0.2">
      <c r="A41">
        <v>1039</v>
      </c>
      <c r="B41" s="1">
        <v>45809</v>
      </c>
      <c r="C41" t="s">
        <v>70</v>
      </c>
      <c r="D41" t="s">
        <v>14</v>
      </c>
      <c r="E41" t="s">
        <v>61</v>
      </c>
      <c r="F41" t="s">
        <v>44</v>
      </c>
      <c r="G41" t="s">
        <v>61</v>
      </c>
      <c r="H41" t="s">
        <v>31</v>
      </c>
      <c r="I41">
        <v>16</v>
      </c>
      <c r="J41">
        <v>1</v>
      </c>
      <c r="K41">
        <v>169000</v>
      </c>
      <c r="L41" s="1">
        <v>45170</v>
      </c>
      <c r="N41">
        <f>SUMIFS(salary_bands[salary_min],salary_bands[prof_group],G41,salary_bands[grade],I41)</f>
        <v>157000</v>
      </c>
      <c r="O41">
        <f>SUMIFS(salary_bands[salary_mid],salary_bands[prof_group],G41,salary_bands[grade],I41)</f>
        <v>185000</v>
      </c>
      <c r="P41">
        <f>SUMIFS(salary_bands[salary_max],salary_bands[prof_group],G41,salary_bands[grade],I41)</f>
        <v>213000</v>
      </c>
      <c r="Q41" t="str" cm="1">
        <f t="array" ref="Q41">_xlfn.IFS(S41&lt;N41,"ниже минимума",S41&lt;=O41,"ниже середины",S41&lt;=P41,"выше середины",S41&gt;P41,"выше максимума")</f>
        <v>ниже середины</v>
      </c>
      <c r="R41">
        <f t="shared" si="3"/>
        <v>0</v>
      </c>
      <c r="S41">
        <f t="shared" si="4"/>
        <v>169000</v>
      </c>
      <c r="T41">
        <f t="shared" si="6"/>
        <v>16000</v>
      </c>
      <c r="U41">
        <f t="shared" si="5"/>
        <v>0</v>
      </c>
      <c r="V41">
        <f t="shared" si="7"/>
        <v>16000</v>
      </c>
      <c r="W41">
        <f t="shared" si="8"/>
        <v>16000</v>
      </c>
    </row>
    <row r="42" spans="1:23" x14ac:dyDescent="0.2">
      <c r="A42">
        <v>1040</v>
      </c>
      <c r="B42" s="1">
        <v>45809</v>
      </c>
      <c r="C42" t="s">
        <v>71</v>
      </c>
      <c r="D42" t="s">
        <v>14</v>
      </c>
      <c r="E42" t="s">
        <v>61</v>
      </c>
      <c r="F42" t="s">
        <v>44</v>
      </c>
      <c r="G42" t="s">
        <v>61</v>
      </c>
      <c r="H42" t="s">
        <v>31</v>
      </c>
      <c r="I42">
        <v>16</v>
      </c>
      <c r="J42">
        <v>0.6</v>
      </c>
      <c r="K42">
        <v>103800</v>
      </c>
      <c r="L42" s="1">
        <v>43845</v>
      </c>
      <c r="N42">
        <f>SUMIFS(salary_bands[salary_min],salary_bands[prof_group],G42,salary_bands[grade],I42)</f>
        <v>157000</v>
      </c>
      <c r="O42">
        <f>SUMIFS(salary_bands[salary_mid],salary_bands[prof_group],G42,salary_bands[grade],I42)</f>
        <v>185000</v>
      </c>
      <c r="P42">
        <f>SUMIFS(salary_bands[salary_max],salary_bands[prof_group],G42,salary_bands[grade],I42)</f>
        <v>213000</v>
      </c>
      <c r="Q42" t="str" cm="1">
        <f t="array" ref="Q42">_xlfn.IFS(S42&lt;N42,"ниже минимума",S42&lt;=O42,"ниже середины",S42&lt;=P42,"выше середины",S42&gt;P42,"выше максимума")</f>
        <v>ниже середины</v>
      </c>
      <c r="R42">
        <f t="shared" si="3"/>
        <v>0</v>
      </c>
      <c r="S42">
        <f t="shared" si="4"/>
        <v>173000</v>
      </c>
      <c r="T42">
        <f t="shared" si="6"/>
        <v>12000</v>
      </c>
      <c r="U42">
        <f t="shared" si="5"/>
        <v>0</v>
      </c>
      <c r="V42">
        <f t="shared" si="7"/>
        <v>7200</v>
      </c>
      <c r="W42">
        <f t="shared" si="8"/>
        <v>7200</v>
      </c>
    </row>
    <row r="43" spans="1:23" x14ac:dyDescent="0.2">
      <c r="A43">
        <v>1041</v>
      </c>
      <c r="B43" s="1">
        <v>45809</v>
      </c>
      <c r="C43" t="s">
        <v>72</v>
      </c>
      <c r="D43" t="s">
        <v>14</v>
      </c>
      <c r="E43" t="s">
        <v>61</v>
      </c>
      <c r="F43" t="s">
        <v>44</v>
      </c>
      <c r="G43" t="s">
        <v>61</v>
      </c>
      <c r="H43" t="s">
        <v>36</v>
      </c>
      <c r="I43">
        <v>17</v>
      </c>
      <c r="J43">
        <v>0.5</v>
      </c>
      <c r="K43">
        <v>90000</v>
      </c>
      <c r="L43" s="1">
        <v>44936</v>
      </c>
      <c r="N43">
        <f>SUMIFS(salary_bands[salary_min],salary_bands[prof_group],G43,salary_bands[grade],I43)</f>
        <v>165000</v>
      </c>
      <c r="O43">
        <f>SUMIFS(salary_bands[salary_mid],salary_bands[prof_group],G43,salary_bands[grade],I43)</f>
        <v>194000</v>
      </c>
      <c r="P43">
        <f>SUMIFS(salary_bands[salary_max],salary_bands[prof_group],G43,salary_bands[grade],I43)</f>
        <v>223000</v>
      </c>
      <c r="Q43" t="str" cm="1">
        <f t="array" ref="Q43">_xlfn.IFS(S43&lt;N43,"ниже минимума",S43&lt;=O43,"ниже середины",S43&lt;=P43,"выше середины",S43&gt;P43,"выше максимума")</f>
        <v>ниже середины</v>
      </c>
      <c r="R43">
        <f t="shared" si="3"/>
        <v>0</v>
      </c>
      <c r="S43">
        <f t="shared" si="4"/>
        <v>180000</v>
      </c>
      <c r="T43">
        <f t="shared" si="6"/>
        <v>14000</v>
      </c>
      <c r="U43">
        <f t="shared" si="5"/>
        <v>0</v>
      </c>
      <c r="V43">
        <f t="shared" si="7"/>
        <v>7000</v>
      </c>
      <c r="W43">
        <f t="shared" si="8"/>
        <v>7000</v>
      </c>
    </row>
    <row r="44" spans="1:23" x14ac:dyDescent="0.2">
      <c r="A44">
        <v>1042</v>
      </c>
      <c r="B44" s="1">
        <v>45809</v>
      </c>
      <c r="C44" t="s">
        <v>73</v>
      </c>
      <c r="D44" t="s">
        <v>14</v>
      </c>
      <c r="E44" t="s">
        <v>61</v>
      </c>
      <c r="F44" t="s">
        <v>44</v>
      </c>
      <c r="G44" t="s">
        <v>61</v>
      </c>
      <c r="H44" t="s">
        <v>36</v>
      </c>
      <c r="I44">
        <v>17</v>
      </c>
      <c r="J44">
        <v>1</v>
      </c>
      <c r="K44">
        <v>207000</v>
      </c>
      <c r="L44" s="1">
        <v>45601</v>
      </c>
      <c r="N44">
        <f>SUMIFS(salary_bands[salary_min],salary_bands[prof_group],G44,salary_bands[grade],I44)</f>
        <v>165000</v>
      </c>
      <c r="O44">
        <f>SUMIFS(salary_bands[salary_mid],salary_bands[prof_group],G44,salary_bands[grade],I44)</f>
        <v>194000</v>
      </c>
      <c r="P44">
        <f>SUMIFS(salary_bands[salary_max],salary_bands[prof_group],G44,salary_bands[grade],I44)</f>
        <v>223000</v>
      </c>
      <c r="Q44" t="str" cm="1">
        <f t="array" ref="Q44">_xlfn.IFS(S44&lt;N44,"ниже минимума",S44&lt;=O44,"ниже середины",S44&lt;=P44,"выше середины",S44&gt;P44,"выше максимума")</f>
        <v>выше середины</v>
      </c>
      <c r="R44">
        <f t="shared" si="3"/>
        <v>0</v>
      </c>
      <c r="S44">
        <f t="shared" si="4"/>
        <v>207000</v>
      </c>
      <c r="T44">
        <f t="shared" si="6"/>
        <v>0</v>
      </c>
      <c r="U44">
        <f t="shared" si="5"/>
        <v>0</v>
      </c>
      <c r="V44">
        <f t="shared" si="7"/>
        <v>0</v>
      </c>
      <c r="W44">
        <f t="shared" si="8"/>
        <v>0</v>
      </c>
    </row>
    <row r="45" spans="1:23" x14ac:dyDescent="0.2">
      <c r="A45">
        <v>1043</v>
      </c>
      <c r="B45" s="1">
        <v>45809</v>
      </c>
      <c r="C45" t="s">
        <v>74</v>
      </c>
      <c r="D45" t="s">
        <v>14</v>
      </c>
      <c r="E45" t="s">
        <v>61</v>
      </c>
      <c r="F45" t="s">
        <v>44</v>
      </c>
      <c r="G45" t="s">
        <v>61</v>
      </c>
      <c r="H45" t="s">
        <v>36</v>
      </c>
      <c r="I45">
        <v>17</v>
      </c>
      <c r="J45">
        <v>0.3</v>
      </c>
      <c r="K45">
        <v>51000</v>
      </c>
      <c r="L45" s="1">
        <v>43845</v>
      </c>
      <c r="N45">
        <f>SUMIFS(salary_bands[salary_min],salary_bands[prof_group],G45,salary_bands[grade],I45)</f>
        <v>165000</v>
      </c>
      <c r="O45">
        <f>SUMIFS(salary_bands[salary_mid],salary_bands[prof_group],G45,salary_bands[grade],I45)</f>
        <v>194000</v>
      </c>
      <c r="P45">
        <f>SUMIFS(salary_bands[salary_max],salary_bands[prof_group],G45,salary_bands[grade],I45)</f>
        <v>223000</v>
      </c>
      <c r="Q45" t="str" cm="1">
        <f t="array" ref="Q45">_xlfn.IFS(S45&lt;N45,"ниже минимума",S45&lt;=O45,"ниже середины",S45&lt;=P45,"выше середины",S45&gt;P45,"выше максимума")</f>
        <v>ниже середины</v>
      </c>
      <c r="R45">
        <f t="shared" si="3"/>
        <v>0</v>
      </c>
      <c r="S45">
        <f t="shared" si="4"/>
        <v>170000</v>
      </c>
      <c r="T45">
        <f t="shared" si="6"/>
        <v>24000</v>
      </c>
      <c r="U45">
        <f t="shared" si="5"/>
        <v>0</v>
      </c>
      <c r="V45">
        <f t="shared" si="7"/>
        <v>7200</v>
      </c>
      <c r="W45">
        <f t="shared" si="8"/>
        <v>7200</v>
      </c>
    </row>
    <row r="46" spans="1:23" x14ac:dyDescent="0.2">
      <c r="A46">
        <v>1044</v>
      </c>
      <c r="B46" s="1">
        <v>45809</v>
      </c>
      <c r="C46" t="s">
        <v>75</v>
      </c>
      <c r="D46" t="s">
        <v>14</v>
      </c>
      <c r="E46" t="s">
        <v>61</v>
      </c>
      <c r="F46" t="s">
        <v>44</v>
      </c>
      <c r="G46" t="s">
        <v>61</v>
      </c>
      <c r="H46" t="s">
        <v>40</v>
      </c>
      <c r="I46">
        <v>18</v>
      </c>
      <c r="J46">
        <v>0.6</v>
      </c>
      <c r="K46">
        <v>109200</v>
      </c>
      <c r="L46" s="1">
        <v>43845</v>
      </c>
      <c r="N46">
        <f>SUMIFS(salary_bands[salary_min],salary_bands[prof_group],G46,salary_bands[grade],I46)</f>
        <v>172000</v>
      </c>
      <c r="O46">
        <f>SUMIFS(salary_bands[salary_mid],salary_bands[prof_group],G46,salary_bands[grade],I46)</f>
        <v>202000</v>
      </c>
      <c r="P46">
        <f>SUMIFS(salary_bands[salary_max],salary_bands[prof_group],G46,salary_bands[grade],I46)</f>
        <v>232000</v>
      </c>
      <c r="Q46" t="str" cm="1">
        <f t="array" ref="Q46">_xlfn.IFS(S46&lt;N46,"ниже минимума",S46&lt;=O46,"ниже середины",S46&lt;=P46,"выше середины",S46&gt;P46,"выше максимума")</f>
        <v>ниже середины</v>
      </c>
      <c r="R46">
        <f t="shared" si="3"/>
        <v>0</v>
      </c>
      <c r="S46">
        <f t="shared" si="4"/>
        <v>182000</v>
      </c>
      <c r="T46">
        <f t="shared" si="6"/>
        <v>20000</v>
      </c>
      <c r="U46">
        <f t="shared" si="5"/>
        <v>0</v>
      </c>
      <c r="V46">
        <f t="shared" si="7"/>
        <v>12000</v>
      </c>
      <c r="W46">
        <f t="shared" si="8"/>
        <v>12000</v>
      </c>
    </row>
    <row r="47" spans="1:23" x14ac:dyDescent="0.2">
      <c r="A47">
        <v>1045</v>
      </c>
      <c r="B47" s="1">
        <v>45809</v>
      </c>
      <c r="C47" t="s">
        <v>76</v>
      </c>
      <c r="D47" t="s">
        <v>14</v>
      </c>
      <c r="E47" t="s">
        <v>61</v>
      </c>
      <c r="F47" t="s">
        <v>44</v>
      </c>
      <c r="G47" t="s">
        <v>61</v>
      </c>
      <c r="H47" t="s">
        <v>40</v>
      </c>
      <c r="I47">
        <v>18</v>
      </c>
      <c r="J47">
        <v>1</v>
      </c>
      <c r="K47">
        <v>225000</v>
      </c>
      <c r="L47" s="1">
        <v>45170</v>
      </c>
      <c r="N47">
        <f>SUMIFS(salary_bands[salary_min],salary_bands[prof_group],G47,salary_bands[grade],I47)</f>
        <v>172000</v>
      </c>
      <c r="O47">
        <f>SUMIFS(salary_bands[salary_mid],salary_bands[prof_group],G47,salary_bands[grade],I47)</f>
        <v>202000</v>
      </c>
      <c r="P47">
        <f>SUMIFS(salary_bands[salary_max],salary_bands[prof_group],G47,salary_bands[grade],I47)</f>
        <v>232000</v>
      </c>
      <c r="Q47" t="str" cm="1">
        <f t="array" ref="Q47">_xlfn.IFS(S47&lt;N47,"ниже минимума",S47&lt;=O47,"ниже середины",S47&lt;=P47,"выше середины",S47&gt;P47,"выше максимума")</f>
        <v>выше середины</v>
      </c>
      <c r="R47">
        <f t="shared" si="3"/>
        <v>0</v>
      </c>
      <c r="S47">
        <f t="shared" si="4"/>
        <v>225000</v>
      </c>
      <c r="T47">
        <f t="shared" si="6"/>
        <v>0</v>
      </c>
      <c r="U47">
        <f t="shared" si="5"/>
        <v>0</v>
      </c>
      <c r="V47">
        <f t="shared" si="7"/>
        <v>0</v>
      </c>
      <c r="W47">
        <f t="shared" si="8"/>
        <v>0</v>
      </c>
    </row>
    <row r="48" spans="1:23" x14ac:dyDescent="0.2">
      <c r="A48">
        <v>1046</v>
      </c>
      <c r="B48" s="1">
        <v>45809</v>
      </c>
      <c r="C48" t="s">
        <v>77</v>
      </c>
      <c r="D48" t="s">
        <v>78</v>
      </c>
      <c r="E48" t="s">
        <v>79</v>
      </c>
      <c r="F48" t="s">
        <v>44</v>
      </c>
      <c r="G48" t="s">
        <v>80</v>
      </c>
      <c r="H48" t="s">
        <v>18</v>
      </c>
      <c r="I48">
        <v>13</v>
      </c>
      <c r="J48">
        <v>1</v>
      </c>
      <c r="K48">
        <v>142000</v>
      </c>
      <c r="L48" s="1">
        <v>44727</v>
      </c>
      <c r="N48">
        <f>SUMIFS(salary_bands[salary_min],salary_bands[prof_group],G48,salary_bands[grade],I48)</f>
        <v>128000</v>
      </c>
      <c r="O48">
        <f>SUMIFS(salary_bands[salary_mid],salary_bands[prof_group],G48,salary_bands[grade],I48)</f>
        <v>151000</v>
      </c>
      <c r="P48">
        <f>SUMIFS(salary_bands[salary_max],salary_bands[prof_group],G48,salary_bands[grade],I48)</f>
        <v>174000</v>
      </c>
      <c r="Q48" t="str" cm="1">
        <f t="array" ref="Q48">_xlfn.IFS(S48&lt;N48,"ниже минимума",S48&lt;=O48,"ниже середины",S48&lt;=P48,"выше середины",S48&gt;P48,"выше максимума")</f>
        <v>ниже середины</v>
      </c>
      <c r="R48">
        <f t="shared" si="3"/>
        <v>0</v>
      </c>
      <c r="S48">
        <f t="shared" si="4"/>
        <v>142000</v>
      </c>
      <c r="T48">
        <f t="shared" si="6"/>
        <v>9000</v>
      </c>
      <c r="U48">
        <f t="shared" si="5"/>
        <v>0</v>
      </c>
      <c r="V48">
        <f t="shared" si="7"/>
        <v>9000</v>
      </c>
      <c r="W48">
        <f t="shared" si="8"/>
        <v>9000</v>
      </c>
    </row>
    <row r="49" spans="1:23" x14ac:dyDescent="0.2">
      <c r="A49">
        <v>1047</v>
      </c>
      <c r="B49" s="1">
        <v>45809</v>
      </c>
      <c r="C49" t="s">
        <v>81</v>
      </c>
      <c r="D49" t="s">
        <v>78</v>
      </c>
      <c r="E49" t="s">
        <v>79</v>
      </c>
      <c r="F49" t="s">
        <v>44</v>
      </c>
      <c r="G49" t="s">
        <v>80</v>
      </c>
      <c r="H49" t="s">
        <v>18</v>
      </c>
      <c r="I49">
        <v>13</v>
      </c>
      <c r="J49">
        <v>1</v>
      </c>
      <c r="K49">
        <v>144000</v>
      </c>
      <c r="L49" s="1">
        <v>44727</v>
      </c>
      <c r="N49">
        <f>SUMIFS(salary_bands[salary_min],salary_bands[prof_group],G49,salary_bands[grade],I49)</f>
        <v>128000</v>
      </c>
      <c r="O49">
        <f>SUMIFS(salary_bands[salary_mid],salary_bands[prof_group],G49,salary_bands[grade],I49)</f>
        <v>151000</v>
      </c>
      <c r="P49">
        <f>SUMIFS(salary_bands[salary_max],salary_bands[prof_group],G49,salary_bands[grade],I49)</f>
        <v>174000</v>
      </c>
      <c r="Q49" t="str" cm="1">
        <f t="array" ref="Q49">_xlfn.IFS(S49&lt;N49,"ниже минимума",S49&lt;=O49,"ниже середины",S49&lt;=P49,"выше середины",S49&gt;P49,"выше максимума")</f>
        <v>ниже середины</v>
      </c>
      <c r="R49">
        <f t="shared" si="3"/>
        <v>0</v>
      </c>
      <c r="S49">
        <f t="shared" si="4"/>
        <v>144000</v>
      </c>
      <c r="T49">
        <f t="shared" si="6"/>
        <v>7000</v>
      </c>
      <c r="U49">
        <f t="shared" si="5"/>
        <v>0</v>
      </c>
      <c r="V49">
        <f t="shared" si="7"/>
        <v>7000</v>
      </c>
      <c r="W49">
        <f t="shared" si="8"/>
        <v>7000</v>
      </c>
    </row>
    <row r="50" spans="1:23" x14ac:dyDescent="0.2">
      <c r="A50">
        <v>1048</v>
      </c>
      <c r="B50" s="1">
        <v>45809</v>
      </c>
      <c r="C50" t="s">
        <v>20</v>
      </c>
      <c r="D50" t="s">
        <v>78</v>
      </c>
      <c r="E50" t="s">
        <v>82</v>
      </c>
      <c r="F50" t="s">
        <v>44</v>
      </c>
      <c r="G50" t="s">
        <v>80</v>
      </c>
      <c r="H50" t="s">
        <v>18</v>
      </c>
      <c r="I50">
        <v>13</v>
      </c>
      <c r="J50">
        <v>0.5</v>
      </c>
      <c r="K50">
        <v>84500</v>
      </c>
      <c r="L50" s="1">
        <v>45170</v>
      </c>
      <c r="N50">
        <f>SUMIFS(salary_bands[salary_min],salary_bands[prof_group],G50,salary_bands[grade],I50)</f>
        <v>128000</v>
      </c>
      <c r="O50">
        <f>SUMIFS(salary_bands[salary_mid],salary_bands[prof_group],G50,salary_bands[grade],I50)</f>
        <v>151000</v>
      </c>
      <c r="P50">
        <f>SUMIFS(salary_bands[salary_max],salary_bands[prof_group],G50,salary_bands[grade],I50)</f>
        <v>174000</v>
      </c>
      <c r="Q50" t="str" cm="1">
        <f t="array" ref="Q50">_xlfn.IFS(S50&lt;N50,"ниже минимума",S50&lt;=O50,"ниже середины",S50&lt;=P50,"выше середины",S50&gt;P50,"выше максимума")</f>
        <v>выше середины</v>
      </c>
      <c r="R50">
        <f t="shared" si="3"/>
        <v>0</v>
      </c>
      <c r="S50">
        <f t="shared" si="4"/>
        <v>169000</v>
      </c>
      <c r="T50">
        <f t="shared" si="6"/>
        <v>0</v>
      </c>
      <c r="U50">
        <f t="shared" si="5"/>
        <v>0</v>
      </c>
      <c r="V50">
        <f t="shared" si="7"/>
        <v>0</v>
      </c>
      <c r="W50">
        <f t="shared" si="8"/>
        <v>0</v>
      </c>
    </row>
    <row r="51" spans="1:23" x14ac:dyDescent="0.2">
      <c r="A51">
        <v>1049</v>
      </c>
      <c r="B51" s="1">
        <v>45809</v>
      </c>
      <c r="C51" t="s">
        <v>83</v>
      </c>
      <c r="D51" t="s">
        <v>78</v>
      </c>
      <c r="E51" t="s">
        <v>82</v>
      </c>
      <c r="F51" t="s">
        <v>44</v>
      </c>
      <c r="G51" t="s">
        <v>80</v>
      </c>
      <c r="H51" t="s">
        <v>23</v>
      </c>
      <c r="I51">
        <v>14</v>
      </c>
      <c r="J51">
        <v>1</v>
      </c>
      <c r="K51">
        <v>174000</v>
      </c>
      <c r="L51" s="1">
        <v>43845</v>
      </c>
      <c r="N51">
        <f>SUMIFS(salary_bands[salary_min],salary_bands[prof_group],G51,salary_bands[grade],I51)</f>
        <v>136000</v>
      </c>
      <c r="O51">
        <f>SUMIFS(salary_bands[salary_mid],salary_bands[prof_group],G51,salary_bands[grade],I51)</f>
        <v>160000</v>
      </c>
      <c r="P51">
        <f>SUMIFS(salary_bands[salary_max],salary_bands[prof_group],G51,salary_bands[grade],I51)</f>
        <v>184000</v>
      </c>
      <c r="Q51" t="str" cm="1">
        <f t="array" ref="Q51">_xlfn.IFS(S51&lt;N51,"ниже минимума",S51&lt;=O51,"ниже середины",S51&lt;=P51,"выше середины",S51&gt;P51,"выше максимума")</f>
        <v>выше середины</v>
      </c>
      <c r="R51">
        <f t="shared" si="3"/>
        <v>0</v>
      </c>
      <c r="S51">
        <f t="shared" si="4"/>
        <v>174000</v>
      </c>
      <c r="T51">
        <f t="shared" si="6"/>
        <v>0</v>
      </c>
      <c r="U51">
        <f t="shared" si="5"/>
        <v>0</v>
      </c>
      <c r="V51">
        <f t="shared" si="7"/>
        <v>0</v>
      </c>
      <c r="W51">
        <f t="shared" si="8"/>
        <v>0</v>
      </c>
    </row>
    <row r="52" spans="1:23" x14ac:dyDescent="0.2">
      <c r="A52">
        <v>1050</v>
      </c>
      <c r="B52" s="1">
        <v>45809</v>
      </c>
      <c r="C52" t="s">
        <v>84</v>
      </c>
      <c r="D52" t="s">
        <v>78</v>
      </c>
      <c r="E52" t="s">
        <v>82</v>
      </c>
      <c r="F52" t="s">
        <v>44</v>
      </c>
      <c r="G52" t="s">
        <v>80</v>
      </c>
      <c r="H52" t="s">
        <v>23</v>
      </c>
      <c r="I52">
        <v>15</v>
      </c>
      <c r="J52">
        <v>1</v>
      </c>
      <c r="K52">
        <v>175000</v>
      </c>
      <c r="L52" s="1">
        <v>44936</v>
      </c>
      <c r="N52">
        <f>SUMIFS(salary_bands[salary_min],salary_bands[prof_group],G52,salary_bands[grade],I52)</f>
        <v>143000</v>
      </c>
      <c r="O52">
        <f>SUMIFS(salary_bands[salary_mid],salary_bands[prof_group],G52,salary_bands[grade],I52)</f>
        <v>168000</v>
      </c>
      <c r="P52">
        <f>SUMIFS(salary_bands[salary_max],salary_bands[prof_group],G52,salary_bands[grade],I52)</f>
        <v>193000</v>
      </c>
      <c r="Q52" t="str" cm="1">
        <f t="array" ref="Q52">_xlfn.IFS(S52&lt;N52,"ниже минимума",S52&lt;=O52,"ниже середины",S52&lt;=P52,"выше середины",S52&gt;P52,"выше максимума")</f>
        <v>выше середины</v>
      </c>
      <c r="R52">
        <f t="shared" si="3"/>
        <v>0</v>
      </c>
      <c r="S52">
        <f t="shared" si="4"/>
        <v>175000</v>
      </c>
      <c r="T52">
        <f t="shared" si="6"/>
        <v>0</v>
      </c>
      <c r="U52">
        <f t="shared" si="5"/>
        <v>0</v>
      </c>
      <c r="V52">
        <f t="shared" si="7"/>
        <v>0</v>
      </c>
      <c r="W52">
        <f t="shared" si="8"/>
        <v>0</v>
      </c>
    </row>
    <row r="53" spans="1:23" x14ac:dyDescent="0.2">
      <c r="A53">
        <v>1051</v>
      </c>
      <c r="B53" s="1">
        <v>45809</v>
      </c>
      <c r="C53" t="s">
        <v>85</v>
      </c>
      <c r="D53" t="s">
        <v>78</v>
      </c>
      <c r="E53" t="s">
        <v>79</v>
      </c>
      <c r="F53" t="s">
        <v>44</v>
      </c>
      <c r="G53" t="s">
        <v>80</v>
      </c>
      <c r="H53" t="s">
        <v>23</v>
      </c>
      <c r="I53">
        <v>14</v>
      </c>
      <c r="J53">
        <v>1</v>
      </c>
      <c r="K53">
        <v>168000</v>
      </c>
      <c r="L53" s="1">
        <v>44936</v>
      </c>
      <c r="N53">
        <f>SUMIFS(salary_bands[salary_min],salary_bands[prof_group],G53,salary_bands[grade],I53)</f>
        <v>136000</v>
      </c>
      <c r="O53">
        <f>SUMIFS(salary_bands[salary_mid],salary_bands[prof_group],G53,salary_bands[grade],I53)</f>
        <v>160000</v>
      </c>
      <c r="P53">
        <f>SUMIFS(salary_bands[salary_max],salary_bands[prof_group],G53,salary_bands[grade],I53)</f>
        <v>184000</v>
      </c>
      <c r="Q53" t="str" cm="1">
        <f t="array" ref="Q53">_xlfn.IFS(S53&lt;N53,"ниже минимума",S53&lt;=O53,"ниже середины",S53&lt;=P53,"выше середины",S53&gt;P53,"выше максимума")</f>
        <v>выше середины</v>
      </c>
      <c r="R53">
        <f t="shared" si="3"/>
        <v>0</v>
      </c>
      <c r="S53">
        <f t="shared" si="4"/>
        <v>168000</v>
      </c>
      <c r="T53">
        <f t="shared" si="6"/>
        <v>0</v>
      </c>
      <c r="U53">
        <f t="shared" si="5"/>
        <v>0</v>
      </c>
      <c r="V53">
        <f t="shared" si="7"/>
        <v>0</v>
      </c>
      <c r="W53">
        <f t="shared" si="8"/>
        <v>0</v>
      </c>
    </row>
    <row r="54" spans="1:23" x14ac:dyDescent="0.2">
      <c r="A54">
        <v>1052</v>
      </c>
      <c r="B54" s="1">
        <v>45809</v>
      </c>
      <c r="C54" t="s">
        <v>86</v>
      </c>
      <c r="D54" t="s">
        <v>78</v>
      </c>
      <c r="E54" t="s">
        <v>79</v>
      </c>
      <c r="F54" t="s">
        <v>44</v>
      </c>
      <c r="G54" t="s">
        <v>80</v>
      </c>
      <c r="H54" t="s">
        <v>23</v>
      </c>
      <c r="I54">
        <v>14</v>
      </c>
      <c r="J54">
        <v>0.6</v>
      </c>
      <c r="K54">
        <v>91800</v>
      </c>
      <c r="L54" s="1">
        <v>43845</v>
      </c>
      <c r="N54">
        <f>SUMIFS(salary_bands[salary_min],salary_bands[prof_group],G54,salary_bands[grade],I54)</f>
        <v>136000</v>
      </c>
      <c r="O54">
        <f>SUMIFS(salary_bands[salary_mid],salary_bands[prof_group],G54,salary_bands[grade],I54)</f>
        <v>160000</v>
      </c>
      <c r="P54">
        <f>SUMIFS(salary_bands[salary_max],salary_bands[prof_group],G54,salary_bands[grade],I54)</f>
        <v>184000</v>
      </c>
      <c r="Q54" t="str" cm="1">
        <f t="array" ref="Q54">_xlfn.IFS(S54&lt;N54,"ниже минимума",S54&lt;=O54,"ниже середины",S54&lt;=P54,"выше середины",S54&gt;P54,"выше максимума")</f>
        <v>ниже середины</v>
      </c>
      <c r="R54">
        <f t="shared" si="3"/>
        <v>0</v>
      </c>
      <c r="S54">
        <f t="shared" si="4"/>
        <v>153000</v>
      </c>
      <c r="T54">
        <f t="shared" si="6"/>
        <v>7000</v>
      </c>
      <c r="U54">
        <f t="shared" si="5"/>
        <v>0</v>
      </c>
      <c r="V54">
        <f t="shared" si="7"/>
        <v>4200</v>
      </c>
      <c r="W54">
        <f t="shared" si="8"/>
        <v>4200</v>
      </c>
    </row>
    <row r="55" spans="1:23" x14ac:dyDescent="0.2">
      <c r="A55">
        <v>1053</v>
      </c>
      <c r="B55" s="1">
        <v>45809</v>
      </c>
      <c r="C55" t="s">
        <v>87</v>
      </c>
      <c r="D55" t="s">
        <v>78</v>
      </c>
      <c r="E55" t="s">
        <v>82</v>
      </c>
      <c r="F55" t="s">
        <v>44</v>
      </c>
      <c r="G55" t="s">
        <v>80</v>
      </c>
      <c r="H55" t="s">
        <v>27</v>
      </c>
      <c r="I55">
        <v>15</v>
      </c>
      <c r="J55">
        <v>1</v>
      </c>
      <c r="K55">
        <v>191000</v>
      </c>
      <c r="L55" s="1">
        <v>44256</v>
      </c>
      <c r="N55">
        <f>SUMIFS(salary_bands[salary_min],salary_bands[prof_group],G55,salary_bands[grade],I55)</f>
        <v>143000</v>
      </c>
      <c r="O55">
        <f>SUMIFS(salary_bands[salary_mid],salary_bands[prof_group],G55,salary_bands[grade],I55)</f>
        <v>168000</v>
      </c>
      <c r="P55">
        <f>SUMIFS(salary_bands[salary_max],salary_bands[prof_group],G55,salary_bands[grade],I55)</f>
        <v>193000</v>
      </c>
      <c r="Q55" t="str" cm="1">
        <f t="array" ref="Q55">_xlfn.IFS(S55&lt;N55,"ниже минимума",S55&lt;=O55,"ниже середины",S55&lt;=P55,"выше середины",S55&gt;P55,"выше максимума")</f>
        <v>выше середины</v>
      </c>
      <c r="R55">
        <f t="shared" si="3"/>
        <v>0</v>
      </c>
      <c r="S55">
        <f t="shared" si="4"/>
        <v>191000</v>
      </c>
      <c r="T55">
        <f t="shared" si="6"/>
        <v>0</v>
      </c>
      <c r="U55">
        <f t="shared" si="5"/>
        <v>0</v>
      </c>
      <c r="V55">
        <f t="shared" si="7"/>
        <v>0</v>
      </c>
      <c r="W55">
        <f t="shared" si="8"/>
        <v>0</v>
      </c>
    </row>
    <row r="56" spans="1:23" x14ac:dyDescent="0.2">
      <c r="A56">
        <v>1054</v>
      </c>
      <c r="B56" s="1">
        <v>45809</v>
      </c>
      <c r="C56" t="s">
        <v>88</v>
      </c>
      <c r="D56" t="s">
        <v>78</v>
      </c>
      <c r="E56" t="s">
        <v>82</v>
      </c>
      <c r="F56" t="s">
        <v>44</v>
      </c>
      <c r="G56" t="s">
        <v>80</v>
      </c>
      <c r="H56" t="s">
        <v>27</v>
      </c>
      <c r="I56">
        <v>15</v>
      </c>
      <c r="J56">
        <v>1</v>
      </c>
      <c r="K56">
        <v>182000</v>
      </c>
      <c r="L56" s="1">
        <v>45342</v>
      </c>
      <c r="N56">
        <f>SUMIFS(salary_bands[salary_min],salary_bands[prof_group],G56,salary_bands[grade],I56)</f>
        <v>143000</v>
      </c>
      <c r="O56">
        <f>SUMIFS(salary_bands[salary_mid],salary_bands[prof_group],G56,salary_bands[grade],I56)</f>
        <v>168000</v>
      </c>
      <c r="P56">
        <f>SUMIFS(salary_bands[salary_max],salary_bands[prof_group],G56,salary_bands[grade],I56)</f>
        <v>193000</v>
      </c>
      <c r="Q56" t="str" cm="1">
        <f t="array" ref="Q56">_xlfn.IFS(S56&lt;N56,"ниже минимума",S56&lt;=O56,"ниже середины",S56&lt;=P56,"выше середины",S56&gt;P56,"выше максимума")</f>
        <v>выше середины</v>
      </c>
      <c r="R56">
        <f t="shared" si="3"/>
        <v>0</v>
      </c>
      <c r="S56">
        <f t="shared" si="4"/>
        <v>182000</v>
      </c>
      <c r="T56">
        <f t="shared" si="6"/>
        <v>0</v>
      </c>
      <c r="U56">
        <f t="shared" si="5"/>
        <v>0</v>
      </c>
      <c r="V56">
        <f t="shared" si="7"/>
        <v>0</v>
      </c>
      <c r="W56">
        <f t="shared" si="8"/>
        <v>0</v>
      </c>
    </row>
    <row r="57" spans="1:23" x14ac:dyDescent="0.2">
      <c r="A57">
        <v>1055</v>
      </c>
      <c r="B57" s="1">
        <v>45809</v>
      </c>
      <c r="C57" t="s">
        <v>89</v>
      </c>
      <c r="D57" t="s">
        <v>78</v>
      </c>
      <c r="E57" t="s">
        <v>79</v>
      </c>
      <c r="F57" t="s">
        <v>44</v>
      </c>
      <c r="G57" t="s">
        <v>80</v>
      </c>
      <c r="H57" t="s">
        <v>31</v>
      </c>
      <c r="I57">
        <v>16</v>
      </c>
      <c r="J57">
        <v>1</v>
      </c>
      <c r="K57">
        <v>173000</v>
      </c>
      <c r="L57" s="1">
        <v>45342</v>
      </c>
      <c r="N57">
        <f>SUMIFS(salary_bands[salary_min],salary_bands[prof_group],G57,salary_bands[grade],I57)</f>
        <v>150000</v>
      </c>
      <c r="O57">
        <f>SUMIFS(salary_bands[salary_mid],salary_bands[prof_group],G57,salary_bands[grade],I57)</f>
        <v>176000</v>
      </c>
      <c r="P57">
        <f>SUMIFS(salary_bands[salary_max],salary_bands[prof_group],G57,salary_bands[grade],I57)</f>
        <v>202000</v>
      </c>
      <c r="Q57" t="str" cm="1">
        <f t="array" ref="Q57">_xlfn.IFS(S57&lt;N57,"ниже минимума",S57&lt;=O57,"ниже середины",S57&lt;=P57,"выше середины",S57&gt;P57,"выше максимума")</f>
        <v>ниже середины</v>
      </c>
      <c r="R57">
        <f t="shared" si="3"/>
        <v>0</v>
      </c>
      <c r="S57">
        <f t="shared" si="4"/>
        <v>173000</v>
      </c>
      <c r="T57">
        <f t="shared" si="6"/>
        <v>3000</v>
      </c>
      <c r="U57">
        <f t="shared" si="5"/>
        <v>0</v>
      </c>
      <c r="V57">
        <f t="shared" si="7"/>
        <v>0</v>
      </c>
      <c r="W57">
        <f t="shared" si="8"/>
        <v>0</v>
      </c>
    </row>
    <row r="58" spans="1:23" x14ac:dyDescent="0.2">
      <c r="A58">
        <v>1056</v>
      </c>
      <c r="B58" s="1">
        <v>45809</v>
      </c>
      <c r="C58" t="s">
        <v>90</v>
      </c>
      <c r="D58" t="s">
        <v>78</v>
      </c>
      <c r="E58" t="s">
        <v>79</v>
      </c>
      <c r="F58" t="s">
        <v>44</v>
      </c>
      <c r="G58" t="s">
        <v>80</v>
      </c>
      <c r="H58" t="s">
        <v>31</v>
      </c>
      <c r="I58">
        <v>16</v>
      </c>
      <c r="J58">
        <v>0.6</v>
      </c>
      <c r="K58">
        <v>109200</v>
      </c>
      <c r="L58" s="1">
        <v>44936</v>
      </c>
      <c r="N58">
        <f>SUMIFS(salary_bands[salary_min],salary_bands[prof_group],G58,salary_bands[grade],I58)</f>
        <v>150000</v>
      </c>
      <c r="O58">
        <f>SUMIFS(salary_bands[salary_mid],salary_bands[prof_group],G58,salary_bands[grade],I58)</f>
        <v>176000</v>
      </c>
      <c r="P58">
        <f>SUMIFS(salary_bands[salary_max],salary_bands[prof_group],G58,salary_bands[grade],I58)</f>
        <v>202000</v>
      </c>
      <c r="Q58" t="str" cm="1">
        <f t="array" ref="Q58">_xlfn.IFS(S58&lt;N58,"ниже минимума",S58&lt;=O58,"ниже середины",S58&lt;=P58,"выше середины",S58&gt;P58,"выше максимума")</f>
        <v>выше середины</v>
      </c>
      <c r="R58">
        <f t="shared" si="3"/>
        <v>0</v>
      </c>
      <c r="S58">
        <f t="shared" si="4"/>
        <v>182000</v>
      </c>
      <c r="T58">
        <f t="shared" si="6"/>
        <v>0</v>
      </c>
      <c r="U58">
        <f t="shared" si="5"/>
        <v>0</v>
      </c>
      <c r="V58">
        <f t="shared" si="7"/>
        <v>0</v>
      </c>
      <c r="W58">
        <f t="shared" si="8"/>
        <v>0</v>
      </c>
    </row>
    <row r="59" spans="1:23" x14ac:dyDescent="0.2">
      <c r="A59">
        <v>1057</v>
      </c>
      <c r="B59" s="1">
        <v>45809</v>
      </c>
      <c r="C59" t="s">
        <v>91</v>
      </c>
      <c r="D59" t="s">
        <v>78</v>
      </c>
      <c r="E59" t="s">
        <v>80</v>
      </c>
      <c r="F59" t="s">
        <v>44</v>
      </c>
      <c r="G59" t="s">
        <v>80</v>
      </c>
      <c r="H59" t="s">
        <v>31</v>
      </c>
      <c r="I59">
        <v>16</v>
      </c>
      <c r="J59">
        <v>1</v>
      </c>
      <c r="K59">
        <v>186000</v>
      </c>
      <c r="L59" s="1">
        <v>45342</v>
      </c>
      <c r="N59">
        <f>SUMIFS(salary_bands[salary_min],salary_bands[prof_group],G59,salary_bands[grade],I59)</f>
        <v>150000</v>
      </c>
      <c r="O59">
        <f>SUMIFS(salary_bands[salary_mid],salary_bands[prof_group],G59,salary_bands[grade],I59)</f>
        <v>176000</v>
      </c>
      <c r="P59">
        <f>SUMIFS(salary_bands[salary_max],salary_bands[prof_group],G59,salary_bands[grade],I59)</f>
        <v>202000</v>
      </c>
      <c r="Q59" t="str" cm="1">
        <f t="array" ref="Q59">_xlfn.IFS(S59&lt;N59,"ниже минимума",S59&lt;=O59,"ниже середины",S59&lt;=P59,"выше середины",S59&gt;P59,"выше максимума")</f>
        <v>выше середины</v>
      </c>
      <c r="R59">
        <f t="shared" si="3"/>
        <v>0</v>
      </c>
      <c r="S59">
        <f t="shared" si="4"/>
        <v>186000</v>
      </c>
      <c r="T59">
        <f t="shared" si="6"/>
        <v>0</v>
      </c>
      <c r="U59">
        <f t="shared" si="5"/>
        <v>0</v>
      </c>
      <c r="V59">
        <f t="shared" si="7"/>
        <v>0</v>
      </c>
      <c r="W59">
        <f t="shared" si="8"/>
        <v>0</v>
      </c>
    </row>
    <row r="60" spans="1:23" x14ac:dyDescent="0.2">
      <c r="A60">
        <v>1058</v>
      </c>
      <c r="B60" s="1">
        <v>45809</v>
      </c>
      <c r="C60" t="s">
        <v>92</v>
      </c>
      <c r="D60" t="s">
        <v>78</v>
      </c>
      <c r="E60" t="s">
        <v>82</v>
      </c>
      <c r="F60" t="s">
        <v>44</v>
      </c>
      <c r="G60" t="s">
        <v>80</v>
      </c>
      <c r="H60" t="s">
        <v>36</v>
      </c>
      <c r="I60">
        <v>17</v>
      </c>
      <c r="J60">
        <v>1</v>
      </c>
      <c r="K60">
        <v>174000</v>
      </c>
      <c r="L60" s="1">
        <v>44936</v>
      </c>
      <c r="N60">
        <f>SUMIFS(salary_bands[salary_min],salary_bands[prof_group],G60,salary_bands[grade],I60)</f>
        <v>157000</v>
      </c>
      <c r="O60">
        <f>SUMIFS(salary_bands[salary_mid],salary_bands[prof_group],G60,salary_bands[grade],I60)</f>
        <v>185000</v>
      </c>
      <c r="P60">
        <f>SUMIFS(salary_bands[salary_max],salary_bands[prof_group],G60,salary_bands[grade],I60)</f>
        <v>213000</v>
      </c>
      <c r="Q60" t="str" cm="1">
        <f t="array" ref="Q60">_xlfn.IFS(S60&lt;N60,"ниже минимума",S60&lt;=O60,"ниже середины",S60&lt;=P60,"выше середины",S60&gt;P60,"выше максимума")</f>
        <v>ниже середины</v>
      </c>
      <c r="R60">
        <f t="shared" si="3"/>
        <v>0</v>
      </c>
      <c r="S60">
        <f t="shared" si="4"/>
        <v>174000</v>
      </c>
      <c r="T60">
        <f t="shared" si="6"/>
        <v>11000</v>
      </c>
      <c r="U60">
        <f t="shared" si="5"/>
        <v>0</v>
      </c>
      <c r="V60">
        <f t="shared" si="7"/>
        <v>11000</v>
      </c>
      <c r="W60">
        <f t="shared" si="8"/>
        <v>11000</v>
      </c>
    </row>
    <row r="61" spans="1:23" x14ac:dyDescent="0.2">
      <c r="A61">
        <v>1059</v>
      </c>
      <c r="B61" s="1">
        <v>45809</v>
      </c>
      <c r="C61" t="s">
        <v>93</v>
      </c>
      <c r="D61" t="s">
        <v>78</v>
      </c>
      <c r="E61" t="s">
        <v>80</v>
      </c>
      <c r="F61" t="s">
        <v>44</v>
      </c>
      <c r="G61" t="s">
        <v>80</v>
      </c>
      <c r="H61" t="s">
        <v>36</v>
      </c>
      <c r="I61">
        <v>17</v>
      </c>
      <c r="J61">
        <v>1</v>
      </c>
      <c r="K61">
        <v>189000</v>
      </c>
      <c r="L61" s="1">
        <v>45601</v>
      </c>
      <c r="N61">
        <f>SUMIFS(salary_bands[salary_min],salary_bands[prof_group],G61,salary_bands[grade],I61)</f>
        <v>157000</v>
      </c>
      <c r="O61">
        <f>SUMIFS(salary_bands[salary_mid],salary_bands[prof_group],G61,salary_bands[grade],I61)</f>
        <v>185000</v>
      </c>
      <c r="P61">
        <f>SUMIFS(salary_bands[salary_max],salary_bands[prof_group],G61,salary_bands[grade],I61)</f>
        <v>213000</v>
      </c>
      <c r="Q61" t="str" cm="1">
        <f t="array" ref="Q61">_xlfn.IFS(S61&lt;N61,"ниже минимума",S61&lt;=O61,"ниже середины",S61&lt;=P61,"выше середины",S61&gt;P61,"выше максимума")</f>
        <v>выше середины</v>
      </c>
      <c r="R61">
        <f t="shared" si="3"/>
        <v>0</v>
      </c>
      <c r="S61">
        <f t="shared" si="4"/>
        <v>189000</v>
      </c>
      <c r="T61">
        <f t="shared" si="6"/>
        <v>0</v>
      </c>
      <c r="U61">
        <f t="shared" si="5"/>
        <v>0</v>
      </c>
      <c r="V61">
        <f t="shared" si="7"/>
        <v>0</v>
      </c>
      <c r="W61">
        <f t="shared" si="8"/>
        <v>0</v>
      </c>
    </row>
    <row r="62" spans="1:23" x14ac:dyDescent="0.2">
      <c r="A62">
        <v>1060</v>
      </c>
      <c r="B62" s="1">
        <v>45809</v>
      </c>
      <c r="C62" t="s">
        <v>94</v>
      </c>
      <c r="D62" t="s">
        <v>78</v>
      </c>
      <c r="E62" t="s">
        <v>82</v>
      </c>
      <c r="F62" t="s">
        <v>44</v>
      </c>
      <c r="G62" t="s">
        <v>80</v>
      </c>
      <c r="H62" t="s">
        <v>36</v>
      </c>
      <c r="I62">
        <v>17</v>
      </c>
      <c r="J62">
        <v>1</v>
      </c>
      <c r="K62">
        <v>186000</v>
      </c>
      <c r="L62" s="1">
        <v>44936</v>
      </c>
      <c r="N62">
        <f>SUMIFS(salary_bands[salary_min],salary_bands[prof_group],G62,salary_bands[grade],I62)</f>
        <v>157000</v>
      </c>
      <c r="O62">
        <f>SUMIFS(salary_bands[salary_mid],salary_bands[prof_group],G62,salary_bands[grade],I62)</f>
        <v>185000</v>
      </c>
      <c r="P62">
        <f>SUMIFS(salary_bands[salary_max],salary_bands[prof_group],G62,salary_bands[grade],I62)</f>
        <v>213000</v>
      </c>
      <c r="Q62" t="str" cm="1">
        <f t="array" ref="Q62">_xlfn.IFS(S62&lt;N62,"ниже минимума",S62&lt;=O62,"ниже середины",S62&lt;=P62,"выше середины",S62&gt;P62,"выше максимума")</f>
        <v>выше середины</v>
      </c>
      <c r="R62">
        <f t="shared" si="3"/>
        <v>0</v>
      </c>
      <c r="S62">
        <f t="shared" si="4"/>
        <v>186000</v>
      </c>
      <c r="T62">
        <f t="shared" si="6"/>
        <v>0</v>
      </c>
      <c r="U62">
        <f t="shared" si="5"/>
        <v>0</v>
      </c>
      <c r="V62">
        <f t="shared" si="7"/>
        <v>0</v>
      </c>
      <c r="W62">
        <f t="shared" si="8"/>
        <v>0</v>
      </c>
    </row>
    <row r="63" spans="1:23" x14ac:dyDescent="0.2">
      <c r="A63">
        <v>1061</v>
      </c>
      <c r="B63" s="1">
        <v>45809</v>
      </c>
      <c r="C63" t="s">
        <v>95</v>
      </c>
      <c r="D63" t="s">
        <v>78</v>
      </c>
      <c r="E63" t="s">
        <v>80</v>
      </c>
      <c r="F63" t="s">
        <v>44</v>
      </c>
      <c r="G63" t="s">
        <v>80</v>
      </c>
      <c r="H63" t="s">
        <v>36</v>
      </c>
      <c r="I63">
        <v>17</v>
      </c>
      <c r="J63">
        <v>1</v>
      </c>
      <c r="K63">
        <v>210000</v>
      </c>
      <c r="L63" s="1">
        <v>44727</v>
      </c>
      <c r="N63">
        <f>SUMIFS(salary_bands[salary_min],salary_bands[prof_group],G63,salary_bands[grade],I63)</f>
        <v>157000</v>
      </c>
      <c r="O63">
        <f>SUMIFS(salary_bands[salary_mid],salary_bands[prof_group],G63,salary_bands[grade],I63)</f>
        <v>185000</v>
      </c>
      <c r="P63">
        <f>SUMIFS(salary_bands[salary_max],salary_bands[prof_group],G63,salary_bands[grade],I63)</f>
        <v>213000</v>
      </c>
      <c r="Q63" t="str" cm="1">
        <f t="array" ref="Q63">_xlfn.IFS(S63&lt;N63,"ниже минимума",S63&lt;=O63,"ниже середины",S63&lt;=P63,"выше середины",S63&gt;P63,"выше максимума")</f>
        <v>выше середины</v>
      </c>
      <c r="R63">
        <f t="shared" si="3"/>
        <v>0</v>
      </c>
      <c r="S63">
        <f t="shared" si="4"/>
        <v>210000</v>
      </c>
      <c r="T63">
        <f t="shared" si="6"/>
        <v>0</v>
      </c>
      <c r="U63">
        <f t="shared" si="5"/>
        <v>0</v>
      </c>
      <c r="V63">
        <f t="shared" si="7"/>
        <v>0</v>
      </c>
      <c r="W63">
        <f t="shared" si="8"/>
        <v>0</v>
      </c>
    </row>
    <row r="64" spans="1:23" x14ac:dyDescent="0.2">
      <c r="A64">
        <v>1062</v>
      </c>
      <c r="B64" s="1">
        <v>45809</v>
      </c>
      <c r="C64" t="s">
        <v>96</v>
      </c>
      <c r="D64" t="s">
        <v>78</v>
      </c>
      <c r="E64" t="s">
        <v>97</v>
      </c>
      <c r="F64" t="s">
        <v>44</v>
      </c>
      <c r="G64" t="s">
        <v>97</v>
      </c>
      <c r="H64" t="s">
        <v>23</v>
      </c>
      <c r="I64">
        <v>14</v>
      </c>
      <c r="J64">
        <v>1</v>
      </c>
      <c r="K64">
        <v>140000</v>
      </c>
      <c r="L64" s="1">
        <v>45601</v>
      </c>
      <c r="N64">
        <f>SUMIFS(salary_bands[salary_min],salary_bands[prof_group],G64,salary_bands[grade],I64)</f>
        <v>129000</v>
      </c>
      <c r="O64">
        <f>SUMIFS(salary_bands[salary_mid],salary_bands[prof_group],G64,salary_bands[grade],I64)</f>
        <v>152000</v>
      </c>
      <c r="P64">
        <f>SUMIFS(salary_bands[salary_max],salary_bands[prof_group],G64,salary_bands[grade],I64)</f>
        <v>175000</v>
      </c>
      <c r="Q64" t="str" cm="1">
        <f t="array" ref="Q64">_xlfn.IFS(S64&lt;N64,"ниже минимума",S64&lt;=O64,"ниже середины",S64&lt;=P64,"выше середины",S64&gt;P64,"выше максимума")</f>
        <v>ниже середины</v>
      </c>
      <c r="R64">
        <f t="shared" si="3"/>
        <v>0</v>
      </c>
      <c r="S64">
        <f t="shared" si="4"/>
        <v>140000</v>
      </c>
      <c r="T64">
        <f t="shared" si="6"/>
        <v>12000</v>
      </c>
      <c r="U64">
        <f t="shared" si="5"/>
        <v>0</v>
      </c>
      <c r="V64">
        <f t="shared" si="7"/>
        <v>12000</v>
      </c>
      <c r="W64">
        <f t="shared" si="8"/>
        <v>12000</v>
      </c>
    </row>
    <row r="65" spans="1:23" x14ac:dyDescent="0.2">
      <c r="A65">
        <v>1063</v>
      </c>
      <c r="B65" s="1">
        <v>45809</v>
      </c>
      <c r="C65" t="s">
        <v>98</v>
      </c>
      <c r="D65" t="s">
        <v>78</v>
      </c>
      <c r="E65" t="s">
        <v>97</v>
      </c>
      <c r="F65" t="s">
        <v>44</v>
      </c>
      <c r="G65" t="s">
        <v>97</v>
      </c>
      <c r="H65" t="s">
        <v>23</v>
      </c>
      <c r="I65">
        <v>14</v>
      </c>
      <c r="J65">
        <v>0.8</v>
      </c>
      <c r="K65">
        <v>110400</v>
      </c>
      <c r="L65" s="1">
        <v>45342</v>
      </c>
      <c r="N65">
        <f>SUMIFS(salary_bands[salary_min],salary_bands[prof_group],G65,salary_bands[grade],I65)</f>
        <v>129000</v>
      </c>
      <c r="O65">
        <f>SUMIFS(salary_bands[salary_mid],salary_bands[prof_group],G65,salary_bands[grade],I65)</f>
        <v>152000</v>
      </c>
      <c r="P65">
        <f>SUMIFS(salary_bands[salary_max],salary_bands[prof_group],G65,salary_bands[grade],I65)</f>
        <v>175000</v>
      </c>
      <c r="Q65" t="str" cm="1">
        <f t="array" ref="Q65">_xlfn.IFS(S65&lt;N65,"ниже минимума",S65&lt;=O65,"ниже середины",S65&lt;=P65,"выше середины",S65&gt;P65,"выше максимума")</f>
        <v>ниже середины</v>
      </c>
      <c r="R65">
        <f t="shared" si="3"/>
        <v>0</v>
      </c>
      <c r="S65">
        <f t="shared" si="4"/>
        <v>138000</v>
      </c>
      <c r="T65">
        <f t="shared" si="6"/>
        <v>14000</v>
      </c>
      <c r="U65">
        <f t="shared" si="5"/>
        <v>0</v>
      </c>
      <c r="V65">
        <f t="shared" si="7"/>
        <v>11200</v>
      </c>
      <c r="W65">
        <f t="shared" si="8"/>
        <v>11200</v>
      </c>
    </row>
    <row r="66" spans="1:23" x14ac:dyDescent="0.2">
      <c r="A66">
        <v>1064</v>
      </c>
      <c r="B66" s="1">
        <v>45809</v>
      </c>
      <c r="C66" t="s">
        <v>99</v>
      </c>
      <c r="D66" t="s">
        <v>78</v>
      </c>
      <c r="E66" t="s">
        <v>97</v>
      </c>
      <c r="F66" t="s">
        <v>44</v>
      </c>
      <c r="G66" t="s">
        <v>97</v>
      </c>
      <c r="H66" t="s">
        <v>23</v>
      </c>
      <c r="I66">
        <v>14</v>
      </c>
      <c r="J66">
        <v>1</v>
      </c>
      <c r="K66">
        <v>161000</v>
      </c>
      <c r="L66" s="1">
        <v>44727</v>
      </c>
      <c r="N66">
        <f>SUMIFS(salary_bands[salary_min],salary_bands[prof_group],G66,salary_bands[grade],I66)</f>
        <v>129000</v>
      </c>
      <c r="O66">
        <f>SUMIFS(salary_bands[salary_mid],salary_bands[prof_group],G66,salary_bands[grade],I66)</f>
        <v>152000</v>
      </c>
      <c r="P66">
        <f>SUMIFS(salary_bands[salary_max],salary_bands[prof_group],G66,salary_bands[grade],I66)</f>
        <v>175000</v>
      </c>
      <c r="Q66" t="str" cm="1">
        <f t="array" ref="Q66">_xlfn.IFS(S66&lt;N66,"ниже минимума",S66&lt;=O66,"ниже середины",S66&lt;=P66,"выше середины",S66&gt;P66,"выше максимума")</f>
        <v>выше середины</v>
      </c>
      <c r="R66">
        <f t="shared" si="3"/>
        <v>0</v>
      </c>
      <c r="S66">
        <f t="shared" si="4"/>
        <v>161000</v>
      </c>
      <c r="T66">
        <f t="shared" ref="T66:T97" si="9">IF(S66&lt;O66,O66-S66,0)</f>
        <v>0</v>
      </c>
      <c r="U66">
        <f t="shared" si="5"/>
        <v>0</v>
      </c>
      <c r="V66">
        <f t="shared" ref="V66:V97" si="10">IF(AND(R66=0, T66&gt;3000), T66*J66, 0)</f>
        <v>0</v>
      </c>
      <c r="W66">
        <f t="shared" ref="W66:W97" si="11">U66+V66</f>
        <v>0</v>
      </c>
    </row>
    <row r="67" spans="1:23" x14ac:dyDescent="0.2">
      <c r="A67">
        <v>1065</v>
      </c>
      <c r="B67" s="1">
        <v>45809</v>
      </c>
      <c r="C67" t="s">
        <v>100</v>
      </c>
      <c r="D67" t="s">
        <v>78</v>
      </c>
      <c r="E67" t="s">
        <v>97</v>
      </c>
      <c r="F67" t="s">
        <v>44</v>
      </c>
      <c r="G67" t="s">
        <v>97</v>
      </c>
      <c r="H67" t="s">
        <v>27</v>
      </c>
      <c r="I67">
        <v>15</v>
      </c>
      <c r="J67">
        <v>1</v>
      </c>
      <c r="K67">
        <v>148000</v>
      </c>
      <c r="L67" s="1">
        <v>44520</v>
      </c>
      <c r="N67">
        <f>SUMIFS(salary_bands[salary_min],salary_bands[prof_group],G67,salary_bands[grade],I67)</f>
        <v>136000</v>
      </c>
      <c r="O67">
        <f>SUMIFS(salary_bands[salary_mid],salary_bands[prof_group],G67,salary_bands[grade],I67)</f>
        <v>160000</v>
      </c>
      <c r="P67">
        <f>SUMIFS(salary_bands[salary_max],salary_bands[prof_group],G67,salary_bands[grade],I67)</f>
        <v>184000</v>
      </c>
      <c r="Q67" t="str" cm="1">
        <f t="array" ref="Q67">_xlfn.IFS(S67&lt;N67,"ниже минимума",S67&lt;=O67,"ниже середины",S67&lt;=P67,"выше середины",S67&gt;P67,"выше максимума")</f>
        <v>ниже середины</v>
      </c>
      <c r="R67">
        <f t="shared" ref="R67:R123" si="12">IF(S67&lt;N67,N67-S67,0)</f>
        <v>0</v>
      </c>
      <c r="S67">
        <f t="shared" ref="S67:S123" si="13">K67/J67</f>
        <v>148000</v>
      </c>
      <c r="T67">
        <f t="shared" si="9"/>
        <v>12000</v>
      </c>
      <c r="U67">
        <f t="shared" ref="U67:U123" si="14">IF(R67&gt;0, R67*J67, 0)</f>
        <v>0</v>
      </c>
      <c r="V67">
        <f t="shared" si="10"/>
        <v>12000</v>
      </c>
      <c r="W67">
        <f t="shared" si="11"/>
        <v>12000</v>
      </c>
    </row>
    <row r="68" spans="1:23" x14ac:dyDescent="0.2">
      <c r="A68">
        <v>1066</v>
      </c>
      <c r="B68" s="1">
        <v>45809</v>
      </c>
      <c r="C68" t="s">
        <v>101</v>
      </c>
      <c r="D68" t="s">
        <v>78</v>
      </c>
      <c r="E68" t="s">
        <v>97</v>
      </c>
      <c r="F68" t="s">
        <v>44</v>
      </c>
      <c r="G68" t="s">
        <v>97</v>
      </c>
      <c r="H68" t="s">
        <v>27</v>
      </c>
      <c r="I68">
        <v>15</v>
      </c>
      <c r="J68">
        <v>1</v>
      </c>
      <c r="K68">
        <v>183000</v>
      </c>
      <c r="L68" s="1">
        <v>45342</v>
      </c>
      <c r="N68">
        <f>SUMIFS(salary_bands[salary_min],salary_bands[prof_group],G68,salary_bands[grade],I68)</f>
        <v>136000</v>
      </c>
      <c r="O68">
        <f>SUMIFS(salary_bands[salary_mid],salary_bands[prof_group],G68,salary_bands[grade],I68)</f>
        <v>160000</v>
      </c>
      <c r="P68">
        <f>SUMIFS(salary_bands[salary_max],salary_bands[prof_group],G68,salary_bands[grade],I68)</f>
        <v>184000</v>
      </c>
      <c r="Q68" t="str" cm="1">
        <f t="array" ref="Q68">_xlfn.IFS(S68&lt;N68,"ниже минимума",S68&lt;=O68,"ниже середины",S68&lt;=P68,"выше середины",S68&gt;P68,"выше максимума")</f>
        <v>выше середины</v>
      </c>
      <c r="R68">
        <f t="shared" si="12"/>
        <v>0</v>
      </c>
      <c r="S68">
        <f t="shared" si="13"/>
        <v>183000</v>
      </c>
      <c r="T68">
        <f t="shared" si="9"/>
        <v>0</v>
      </c>
      <c r="U68">
        <f t="shared" si="14"/>
        <v>0</v>
      </c>
      <c r="V68">
        <f t="shared" si="10"/>
        <v>0</v>
      </c>
      <c r="W68">
        <f t="shared" si="11"/>
        <v>0</v>
      </c>
    </row>
    <row r="69" spans="1:23" x14ac:dyDescent="0.2">
      <c r="A69">
        <v>1067</v>
      </c>
      <c r="B69" s="1">
        <v>45809</v>
      </c>
      <c r="C69" t="s">
        <v>68</v>
      </c>
      <c r="D69" t="s">
        <v>78</v>
      </c>
      <c r="E69" t="s">
        <v>97</v>
      </c>
      <c r="F69" t="s">
        <v>44</v>
      </c>
      <c r="G69" t="s">
        <v>97</v>
      </c>
      <c r="H69" t="s">
        <v>27</v>
      </c>
      <c r="I69">
        <v>15</v>
      </c>
      <c r="J69">
        <v>0.75</v>
      </c>
      <c r="K69">
        <v>118500</v>
      </c>
      <c r="L69" s="1">
        <v>45601</v>
      </c>
      <c r="N69">
        <f>SUMIFS(salary_bands[salary_min],salary_bands[prof_group],G69,salary_bands[grade],I69)</f>
        <v>136000</v>
      </c>
      <c r="O69">
        <f>SUMIFS(salary_bands[salary_mid],salary_bands[prof_group],G69,salary_bands[grade],I69)</f>
        <v>160000</v>
      </c>
      <c r="P69">
        <f>SUMIFS(salary_bands[salary_max],salary_bands[prof_group],G69,salary_bands[grade],I69)</f>
        <v>184000</v>
      </c>
      <c r="Q69" t="str" cm="1">
        <f t="array" ref="Q69">_xlfn.IFS(S69&lt;N69,"ниже минимума",S69&lt;=O69,"ниже середины",S69&lt;=P69,"выше середины",S69&gt;P69,"выше максимума")</f>
        <v>ниже середины</v>
      </c>
      <c r="R69">
        <f t="shared" si="12"/>
        <v>0</v>
      </c>
      <c r="S69">
        <f t="shared" si="13"/>
        <v>158000</v>
      </c>
      <c r="T69">
        <f t="shared" si="9"/>
        <v>2000</v>
      </c>
      <c r="U69">
        <f t="shared" si="14"/>
        <v>0</v>
      </c>
      <c r="V69">
        <f t="shared" si="10"/>
        <v>0</v>
      </c>
      <c r="W69">
        <f t="shared" si="11"/>
        <v>0</v>
      </c>
    </row>
    <row r="70" spans="1:23" x14ac:dyDescent="0.2">
      <c r="A70">
        <v>1068</v>
      </c>
      <c r="B70" s="1">
        <v>45809</v>
      </c>
      <c r="C70" t="s">
        <v>102</v>
      </c>
      <c r="D70" t="s">
        <v>78</v>
      </c>
      <c r="E70" t="s">
        <v>97</v>
      </c>
      <c r="F70" t="s">
        <v>44</v>
      </c>
      <c r="G70" t="s">
        <v>97</v>
      </c>
      <c r="H70" t="s">
        <v>31</v>
      </c>
      <c r="I70">
        <v>16</v>
      </c>
      <c r="J70">
        <v>1</v>
      </c>
      <c r="K70">
        <v>179000</v>
      </c>
      <c r="L70" s="1">
        <v>45170</v>
      </c>
      <c r="N70">
        <f>SUMIFS(salary_bands[salary_min],salary_bands[prof_group],G70,salary_bands[grade],I70)</f>
        <v>143000</v>
      </c>
      <c r="O70">
        <f>SUMIFS(salary_bands[salary_mid],salary_bands[prof_group],G70,salary_bands[grade],I70)</f>
        <v>168000</v>
      </c>
      <c r="P70">
        <f>SUMIFS(salary_bands[salary_max],salary_bands[prof_group],G70,salary_bands[grade],I70)</f>
        <v>193000</v>
      </c>
      <c r="Q70" t="str" cm="1">
        <f t="array" ref="Q70">_xlfn.IFS(S70&lt;N70,"ниже минимума",S70&lt;=O70,"ниже середины",S70&lt;=P70,"выше середины",S70&gt;P70,"выше максимума")</f>
        <v>выше середины</v>
      </c>
      <c r="R70">
        <f t="shared" si="12"/>
        <v>0</v>
      </c>
      <c r="S70">
        <f t="shared" si="13"/>
        <v>179000</v>
      </c>
      <c r="T70">
        <f t="shared" si="9"/>
        <v>0</v>
      </c>
      <c r="U70">
        <f t="shared" si="14"/>
        <v>0</v>
      </c>
      <c r="V70">
        <f t="shared" si="10"/>
        <v>0</v>
      </c>
      <c r="W70">
        <f t="shared" si="11"/>
        <v>0</v>
      </c>
    </row>
    <row r="71" spans="1:23" x14ac:dyDescent="0.2">
      <c r="A71">
        <v>1069</v>
      </c>
      <c r="B71" s="1">
        <v>45809</v>
      </c>
      <c r="C71" t="s">
        <v>66</v>
      </c>
      <c r="D71" t="s">
        <v>78</v>
      </c>
      <c r="E71" t="s">
        <v>97</v>
      </c>
      <c r="F71" t="s">
        <v>44</v>
      </c>
      <c r="G71" t="s">
        <v>97</v>
      </c>
      <c r="H71" t="s">
        <v>31</v>
      </c>
      <c r="I71">
        <v>16</v>
      </c>
      <c r="J71">
        <v>0.3</v>
      </c>
      <c r="K71">
        <v>45000</v>
      </c>
      <c r="L71" s="1">
        <v>44520</v>
      </c>
      <c r="N71">
        <f>SUMIFS(salary_bands[salary_min],salary_bands[prof_group],G71,salary_bands[grade],I71)</f>
        <v>143000</v>
      </c>
      <c r="O71">
        <f>SUMIFS(salary_bands[salary_mid],salary_bands[prof_group],G71,salary_bands[grade],I71)</f>
        <v>168000</v>
      </c>
      <c r="P71">
        <f>SUMIFS(salary_bands[salary_max],salary_bands[prof_group],G71,salary_bands[grade],I71)</f>
        <v>193000</v>
      </c>
      <c r="Q71" t="str" cm="1">
        <f t="array" ref="Q71">_xlfn.IFS(S71&lt;N71,"ниже минимума",S71&lt;=O71,"ниже середины",S71&lt;=P71,"выше середины",S71&gt;P71,"выше максимума")</f>
        <v>ниже середины</v>
      </c>
      <c r="R71">
        <f t="shared" si="12"/>
        <v>0</v>
      </c>
      <c r="S71">
        <f t="shared" si="13"/>
        <v>150000</v>
      </c>
      <c r="T71">
        <f t="shared" si="9"/>
        <v>18000</v>
      </c>
      <c r="U71">
        <f t="shared" si="14"/>
        <v>0</v>
      </c>
      <c r="V71">
        <f t="shared" si="10"/>
        <v>5400</v>
      </c>
      <c r="W71">
        <f t="shared" si="11"/>
        <v>5400</v>
      </c>
    </row>
    <row r="72" spans="1:23" x14ac:dyDescent="0.2">
      <c r="A72">
        <v>1070</v>
      </c>
      <c r="B72" s="1">
        <v>45809</v>
      </c>
      <c r="C72" t="s">
        <v>75</v>
      </c>
      <c r="D72" t="s">
        <v>78</v>
      </c>
      <c r="E72" t="s">
        <v>97</v>
      </c>
      <c r="F72" t="s">
        <v>44</v>
      </c>
      <c r="G72" t="s">
        <v>97</v>
      </c>
      <c r="H72" t="s">
        <v>31</v>
      </c>
      <c r="I72">
        <v>16</v>
      </c>
      <c r="J72">
        <v>1</v>
      </c>
      <c r="K72">
        <v>163000</v>
      </c>
      <c r="L72" s="1">
        <v>43845</v>
      </c>
      <c r="N72">
        <f>SUMIFS(salary_bands[salary_min],salary_bands[prof_group],G72,salary_bands[grade],I72)</f>
        <v>143000</v>
      </c>
      <c r="O72">
        <f>SUMIFS(salary_bands[salary_mid],salary_bands[prof_group],G72,salary_bands[grade],I72)</f>
        <v>168000</v>
      </c>
      <c r="P72">
        <f>SUMIFS(salary_bands[salary_max],salary_bands[prof_group],G72,salary_bands[grade],I72)</f>
        <v>193000</v>
      </c>
      <c r="Q72" t="str" cm="1">
        <f t="array" ref="Q72">_xlfn.IFS(S72&lt;N72,"ниже минимума",S72&lt;=O72,"ниже середины",S72&lt;=P72,"выше середины",S72&gt;P72,"выше максимума")</f>
        <v>ниже середины</v>
      </c>
      <c r="R72">
        <f t="shared" si="12"/>
        <v>0</v>
      </c>
      <c r="S72">
        <f t="shared" si="13"/>
        <v>163000</v>
      </c>
      <c r="T72">
        <f t="shared" si="9"/>
        <v>5000</v>
      </c>
      <c r="U72">
        <f t="shared" si="14"/>
        <v>0</v>
      </c>
      <c r="V72">
        <f t="shared" si="10"/>
        <v>5000</v>
      </c>
      <c r="W72">
        <f t="shared" si="11"/>
        <v>5000</v>
      </c>
    </row>
    <row r="73" spans="1:23" x14ac:dyDescent="0.2">
      <c r="A73">
        <v>1071</v>
      </c>
      <c r="B73" s="1">
        <v>45809</v>
      </c>
      <c r="C73" t="s">
        <v>103</v>
      </c>
      <c r="D73" t="s">
        <v>78</v>
      </c>
      <c r="E73" t="s">
        <v>97</v>
      </c>
      <c r="F73" t="s">
        <v>44</v>
      </c>
      <c r="G73" t="s">
        <v>97</v>
      </c>
      <c r="H73" t="s">
        <v>36</v>
      </c>
      <c r="I73">
        <v>17</v>
      </c>
      <c r="J73">
        <v>1</v>
      </c>
      <c r="K73">
        <v>190000</v>
      </c>
      <c r="L73" s="1">
        <v>45601</v>
      </c>
      <c r="N73">
        <f>SUMIFS(salary_bands[salary_min],salary_bands[prof_group],G73,salary_bands[grade],I73)</f>
        <v>150000</v>
      </c>
      <c r="O73">
        <f>SUMIFS(salary_bands[salary_mid],salary_bands[prof_group],G73,salary_bands[grade],I73)</f>
        <v>176000</v>
      </c>
      <c r="P73">
        <f>SUMIFS(salary_bands[salary_max],salary_bands[prof_group],G73,salary_bands[grade],I73)</f>
        <v>202000</v>
      </c>
      <c r="Q73" t="str" cm="1">
        <f t="array" ref="Q73">_xlfn.IFS(S73&lt;N73,"ниже минимума",S73&lt;=O73,"ниже середины",S73&lt;=P73,"выше середины",S73&gt;P73,"выше максимума")</f>
        <v>выше середины</v>
      </c>
      <c r="R73">
        <f t="shared" si="12"/>
        <v>0</v>
      </c>
      <c r="S73">
        <f t="shared" si="13"/>
        <v>190000</v>
      </c>
      <c r="T73">
        <f t="shared" si="9"/>
        <v>0</v>
      </c>
      <c r="U73">
        <f t="shared" si="14"/>
        <v>0</v>
      </c>
      <c r="V73">
        <f t="shared" si="10"/>
        <v>0</v>
      </c>
      <c r="W73">
        <f t="shared" si="11"/>
        <v>0</v>
      </c>
    </row>
    <row r="74" spans="1:23" x14ac:dyDescent="0.2">
      <c r="A74">
        <v>1072</v>
      </c>
      <c r="B74" s="1">
        <v>45809</v>
      </c>
      <c r="C74" t="s">
        <v>104</v>
      </c>
      <c r="D74" t="s">
        <v>78</v>
      </c>
      <c r="E74" t="s">
        <v>97</v>
      </c>
      <c r="F74" t="s">
        <v>44</v>
      </c>
      <c r="G74" t="s">
        <v>97</v>
      </c>
      <c r="H74" t="s">
        <v>36</v>
      </c>
      <c r="I74">
        <v>17</v>
      </c>
      <c r="J74">
        <v>0.6</v>
      </c>
      <c r="K74">
        <v>113400</v>
      </c>
      <c r="L74" s="1">
        <v>45601</v>
      </c>
      <c r="N74">
        <f>SUMIFS(salary_bands[salary_min],salary_bands[prof_group],G74,salary_bands[grade],I74)</f>
        <v>150000</v>
      </c>
      <c r="O74">
        <f>SUMIFS(salary_bands[salary_mid],salary_bands[prof_group],G74,salary_bands[grade],I74)</f>
        <v>176000</v>
      </c>
      <c r="P74">
        <f>SUMIFS(salary_bands[salary_max],salary_bands[prof_group],G74,salary_bands[grade],I74)</f>
        <v>202000</v>
      </c>
      <c r="Q74" t="str" cm="1">
        <f t="array" ref="Q74">_xlfn.IFS(S74&lt;N74,"ниже минимума",S74&lt;=O74,"ниже середины",S74&lt;=P74,"выше середины",S74&gt;P74,"выше максимума")</f>
        <v>выше середины</v>
      </c>
      <c r="R74">
        <f t="shared" si="12"/>
        <v>0</v>
      </c>
      <c r="S74">
        <f t="shared" si="13"/>
        <v>189000</v>
      </c>
      <c r="T74">
        <f t="shared" si="9"/>
        <v>0</v>
      </c>
      <c r="U74">
        <f t="shared" si="14"/>
        <v>0</v>
      </c>
      <c r="V74">
        <f t="shared" si="10"/>
        <v>0</v>
      </c>
      <c r="W74">
        <f t="shared" si="11"/>
        <v>0</v>
      </c>
    </row>
    <row r="75" spans="1:23" x14ac:dyDescent="0.2">
      <c r="A75">
        <v>1073</v>
      </c>
      <c r="B75" s="1">
        <v>45809</v>
      </c>
      <c r="C75" t="s">
        <v>85</v>
      </c>
      <c r="D75" t="s">
        <v>78</v>
      </c>
      <c r="E75" t="s">
        <v>97</v>
      </c>
      <c r="F75" t="s">
        <v>44</v>
      </c>
      <c r="G75" t="s">
        <v>97</v>
      </c>
      <c r="H75" t="s">
        <v>36</v>
      </c>
      <c r="I75">
        <v>17</v>
      </c>
      <c r="J75">
        <v>1</v>
      </c>
      <c r="K75">
        <v>175000</v>
      </c>
      <c r="L75" s="1">
        <v>45342</v>
      </c>
      <c r="N75">
        <f>SUMIFS(salary_bands[salary_min],salary_bands[prof_group],G75,salary_bands[grade],I75)</f>
        <v>150000</v>
      </c>
      <c r="O75">
        <f>SUMIFS(salary_bands[salary_mid],salary_bands[prof_group],G75,salary_bands[grade],I75)</f>
        <v>176000</v>
      </c>
      <c r="P75">
        <f>SUMIFS(salary_bands[salary_max],salary_bands[prof_group],G75,salary_bands[grade],I75)</f>
        <v>202000</v>
      </c>
      <c r="Q75" t="str" cm="1">
        <f t="array" ref="Q75">_xlfn.IFS(S75&lt;N75,"ниже минимума",S75&lt;=O75,"ниже середины",S75&lt;=P75,"выше середины",S75&gt;P75,"выше максимума")</f>
        <v>ниже середины</v>
      </c>
      <c r="R75">
        <f t="shared" si="12"/>
        <v>0</v>
      </c>
      <c r="S75">
        <f t="shared" si="13"/>
        <v>175000</v>
      </c>
      <c r="T75">
        <f t="shared" si="9"/>
        <v>1000</v>
      </c>
      <c r="U75">
        <f t="shared" si="14"/>
        <v>0</v>
      </c>
      <c r="V75">
        <f t="shared" si="10"/>
        <v>0</v>
      </c>
      <c r="W75">
        <f t="shared" si="11"/>
        <v>0</v>
      </c>
    </row>
    <row r="76" spans="1:23" x14ac:dyDescent="0.2">
      <c r="A76">
        <v>1074</v>
      </c>
      <c r="B76" s="1">
        <v>45809</v>
      </c>
      <c r="C76" t="s">
        <v>105</v>
      </c>
      <c r="D76" t="s">
        <v>106</v>
      </c>
      <c r="E76" t="s">
        <v>107</v>
      </c>
      <c r="F76" t="s">
        <v>44</v>
      </c>
      <c r="G76" t="s">
        <v>107</v>
      </c>
      <c r="H76" t="s">
        <v>108</v>
      </c>
      <c r="I76">
        <v>12</v>
      </c>
      <c r="J76">
        <v>0.8</v>
      </c>
      <c r="K76">
        <v>98400</v>
      </c>
      <c r="L76" s="1">
        <v>44256</v>
      </c>
      <c r="N76">
        <f>SUMIFS(salary_bands[salary_min],salary_bands[prof_group],G76,salary_bands[grade],I76)</f>
        <v>104000</v>
      </c>
      <c r="O76">
        <f>SUMIFS(salary_bands[salary_mid],salary_bands[prof_group],G76,salary_bands[grade],I76)</f>
        <v>122000</v>
      </c>
      <c r="P76">
        <f>SUMIFS(salary_bands[salary_max],salary_bands[prof_group],G76,salary_bands[grade],I76)</f>
        <v>140000</v>
      </c>
      <c r="Q76" t="str" cm="1">
        <f t="array" ref="Q76">_xlfn.IFS(S76&lt;N76,"ниже минимума",S76&lt;=O76,"ниже середины",S76&lt;=P76,"выше середины",S76&gt;P76,"выше максимума")</f>
        <v>выше середины</v>
      </c>
      <c r="R76">
        <f t="shared" si="12"/>
        <v>0</v>
      </c>
      <c r="S76">
        <f t="shared" si="13"/>
        <v>123000</v>
      </c>
      <c r="T76">
        <f t="shared" si="9"/>
        <v>0</v>
      </c>
      <c r="U76">
        <f t="shared" si="14"/>
        <v>0</v>
      </c>
      <c r="V76">
        <f t="shared" si="10"/>
        <v>0</v>
      </c>
      <c r="W76">
        <f t="shared" si="11"/>
        <v>0</v>
      </c>
    </row>
    <row r="77" spans="1:23" x14ac:dyDescent="0.2">
      <c r="A77">
        <v>1075</v>
      </c>
      <c r="B77" s="1">
        <v>45809</v>
      </c>
      <c r="C77" t="s">
        <v>109</v>
      </c>
      <c r="D77" t="s">
        <v>106</v>
      </c>
      <c r="E77" t="s">
        <v>107</v>
      </c>
      <c r="F77" t="s">
        <v>44</v>
      </c>
      <c r="G77" t="s">
        <v>107</v>
      </c>
      <c r="H77" t="s">
        <v>108</v>
      </c>
      <c r="I77">
        <v>12</v>
      </c>
      <c r="J77">
        <v>1</v>
      </c>
      <c r="K77">
        <v>121000</v>
      </c>
      <c r="L77" s="1">
        <v>45342</v>
      </c>
      <c r="N77">
        <f>SUMIFS(salary_bands[salary_min],salary_bands[prof_group],G77,salary_bands[grade],I77)</f>
        <v>104000</v>
      </c>
      <c r="O77">
        <f>SUMIFS(salary_bands[salary_mid],salary_bands[prof_group],G77,salary_bands[grade],I77)</f>
        <v>122000</v>
      </c>
      <c r="P77">
        <f>SUMIFS(salary_bands[salary_max],salary_bands[prof_group],G77,salary_bands[grade],I77)</f>
        <v>140000</v>
      </c>
      <c r="Q77" t="str" cm="1">
        <f t="array" ref="Q77">_xlfn.IFS(S77&lt;N77,"ниже минимума",S77&lt;=O77,"ниже середины",S77&lt;=P77,"выше середины",S77&gt;P77,"выше максимума")</f>
        <v>ниже середины</v>
      </c>
      <c r="R77">
        <f t="shared" si="12"/>
        <v>0</v>
      </c>
      <c r="S77">
        <f t="shared" si="13"/>
        <v>121000</v>
      </c>
      <c r="T77">
        <f t="shared" si="9"/>
        <v>1000</v>
      </c>
      <c r="U77">
        <f t="shared" si="14"/>
        <v>0</v>
      </c>
      <c r="V77">
        <f t="shared" si="10"/>
        <v>0</v>
      </c>
      <c r="W77">
        <f t="shared" si="11"/>
        <v>0</v>
      </c>
    </row>
    <row r="78" spans="1:23" x14ac:dyDescent="0.2">
      <c r="A78">
        <v>1076</v>
      </c>
      <c r="B78" s="1">
        <v>45809</v>
      </c>
      <c r="C78" t="s">
        <v>110</v>
      </c>
      <c r="D78" t="s">
        <v>106</v>
      </c>
      <c r="E78" t="s">
        <v>107</v>
      </c>
      <c r="F78" t="s">
        <v>44</v>
      </c>
      <c r="G78" t="s">
        <v>107</v>
      </c>
      <c r="H78" t="s">
        <v>108</v>
      </c>
      <c r="I78">
        <v>12</v>
      </c>
      <c r="J78">
        <v>1</v>
      </c>
      <c r="K78">
        <v>116000</v>
      </c>
      <c r="L78" s="1">
        <v>45342</v>
      </c>
      <c r="N78">
        <f>SUMIFS(salary_bands[salary_min],salary_bands[prof_group],G78,salary_bands[grade],I78)</f>
        <v>104000</v>
      </c>
      <c r="O78">
        <f>SUMIFS(salary_bands[salary_mid],salary_bands[prof_group],G78,salary_bands[grade],I78)</f>
        <v>122000</v>
      </c>
      <c r="P78">
        <f>SUMIFS(salary_bands[salary_max],salary_bands[prof_group],G78,salary_bands[grade],I78)</f>
        <v>140000</v>
      </c>
      <c r="Q78" t="str" cm="1">
        <f t="array" ref="Q78">_xlfn.IFS(S78&lt;N78,"ниже минимума",S78&lt;=O78,"ниже середины",S78&lt;=P78,"выше середины",S78&gt;P78,"выше максимума")</f>
        <v>ниже середины</v>
      </c>
      <c r="R78">
        <f t="shared" si="12"/>
        <v>0</v>
      </c>
      <c r="S78">
        <f t="shared" si="13"/>
        <v>116000</v>
      </c>
      <c r="T78">
        <f t="shared" si="9"/>
        <v>6000</v>
      </c>
      <c r="U78">
        <f t="shared" si="14"/>
        <v>0</v>
      </c>
      <c r="V78">
        <f t="shared" si="10"/>
        <v>6000</v>
      </c>
      <c r="W78">
        <f t="shared" si="11"/>
        <v>6000</v>
      </c>
    </row>
    <row r="79" spans="1:23" x14ac:dyDescent="0.2">
      <c r="A79">
        <v>1077</v>
      </c>
      <c r="B79" s="1">
        <v>45809</v>
      </c>
      <c r="C79" t="s">
        <v>111</v>
      </c>
      <c r="D79" t="s">
        <v>106</v>
      </c>
      <c r="E79" t="s">
        <v>107</v>
      </c>
      <c r="F79" t="s">
        <v>44</v>
      </c>
      <c r="G79" t="s">
        <v>107</v>
      </c>
      <c r="H79" t="s">
        <v>18</v>
      </c>
      <c r="I79">
        <v>13</v>
      </c>
      <c r="J79">
        <v>1</v>
      </c>
      <c r="K79">
        <v>140000</v>
      </c>
      <c r="L79" s="1">
        <v>44727</v>
      </c>
      <c r="N79">
        <f>SUMIFS(salary_bands[salary_min],salary_bands[prof_group],G79,salary_bands[grade],I79)</f>
        <v>110000</v>
      </c>
      <c r="O79">
        <f>SUMIFS(salary_bands[salary_mid],salary_bands[prof_group],G79,salary_bands[grade],I79)</f>
        <v>130000</v>
      </c>
      <c r="P79">
        <f>SUMIFS(salary_bands[salary_max],salary_bands[prof_group],G79,salary_bands[grade],I79)</f>
        <v>150000</v>
      </c>
      <c r="Q79" t="str" cm="1">
        <f t="array" ref="Q79">_xlfn.IFS(S79&lt;N79,"ниже минимума",S79&lt;=O79,"ниже середины",S79&lt;=P79,"выше середины",S79&gt;P79,"выше максимума")</f>
        <v>выше середины</v>
      </c>
      <c r="R79">
        <f t="shared" si="12"/>
        <v>0</v>
      </c>
      <c r="S79">
        <f t="shared" si="13"/>
        <v>140000</v>
      </c>
      <c r="T79">
        <f t="shared" si="9"/>
        <v>0</v>
      </c>
      <c r="U79">
        <f t="shared" si="14"/>
        <v>0</v>
      </c>
      <c r="V79">
        <f t="shared" si="10"/>
        <v>0</v>
      </c>
      <c r="W79">
        <f t="shared" si="11"/>
        <v>0</v>
      </c>
    </row>
    <row r="80" spans="1:23" x14ac:dyDescent="0.2">
      <c r="A80">
        <v>1078</v>
      </c>
      <c r="B80" s="1">
        <v>45809</v>
      </c>
      <c r="C80" t="s">
        <v>112</v>
      </c>
      <c r="D80" t="s">
        <v>106</v>
      </c>
      <c r="E80" t="s">
        <v>107</v>
      </c>
      <c r="F80" t="s">
        <v>44</v>
      </c>
      <c r="G80" t="s">
        <v>107</v>
      </c>
      <c r="H80" t="s">
        <v>18</v>
      </c>
      <c r="I80">
        <v>13</v>
      </c>
      <c r="J80">
        <v>0.3</v>
      </c>
      <c r="K80">
        <v>42000</v>
      </c>
      <c r="L80" s="1">
        <v>43845</v>
      </c>
      <c r="N80">
        <f>SUMIFS(salary_bands[salary_min],salary_bands[prof_group],G80,salary_bands[grade],I80)</f>
        <v>110000</v>
      </c>
      <c r="O80">
        <f>SUMIFS(salary_bands[salary_mid],salary_bands[prof_group],G80,salary_bands[grade],I80)</f>
        <v>130000</v>
      </c>
      <c r="P80">
        <f>SUMIFS(salary_bands[salary_max],salary_bands[prof_group],G80,salary_bands[grade],I80)</f>
        <v>150000</v>
      </c>
      <c r="Q80" t="str" cm="1">
        <f t="array" ref="Q80">_xlfn.IFS(S80&lt;N80,"ниже минимума",S80&lt;=O80,"ниже середины",S80&lt;=P80,"выше середины",S80&gt;P80,"выше максимума")</f>
        <v>выше середины</v>
      </c>
      <c r="R80">
        <f t="shared" si="12"/>
        <v>0</v>
      </c>
      <c r="S80">
        <f t="shared" si="13"/>
        <v>140000</v>
      </c>
      <c r="T80">
        <f t="shared" si="9"/>
        <v>0</v>
      </c>
      <c r="U80">
        <f t="shared" si="14"/>
        <v>0</v>
      </c>
      <c r="V80">
        <f t="shared" si="10"/>
        <v>0</v>
      </c>
      <c r="W80">
        <f t="shared" si="11"/>
        <v>0</v>
      </c>
    </row>
    <row r="81" spans="1:23" x14ac:dyDescent="0.2">
      <c r="A81">
        <v>1079</v>
      </c>
      <c r="B81" s="1">
        <v>45809</v>
      </c>
      <c r="C81" t="s">
        <v>113</v>
      </c>
      <c r="D81" t="s">
        <v>106</v>
      </c>
      <c r="E81" t="s">
        <v>107</v>
      </c>
      <c r="F81" t="s">
        <v>44</v>
      </c>
      <c r="G81" t="s">
        <v>107</v>
      </c>
      <c r="H81" t="s">
        <v>18</v>
      </c>
      <c r="I81">
        <v>13</v>
      </c>
      <c r="J81">
        <v>1</v>
      </c>
      <c r="K81">
        <v>129000</v>
      </c>
      <c r="L81" s="1">
        <v>45601</v>
      </c>
      <c r="N81">
        <f>SUMIFS(salary_bands[salary_min],salary_bands[prof_group],G81,salary_bands[grade],I81)</f>
        <v>110000</v>
      </c>
      <c r="O81">
        <f>SUMIFS(salary_bands[salary_mid],salary_bands[prof_group],G81,salary_bands[grade],I81)</f>
        <v>130000</v>
      </c>
      <c r="P81">
        <f>SUMIFS(salary_bands[salary_max],salary_bands[prof_group],G81,salary_bands[grade],I81)</f>
        <v>150000</v>
      </c>
      <c r="Q81" t="str" cm="1">
        <f t="array" ref="Q81">_xlfn.IFS(S81&lt;N81,"ниже минимума",S81&lt;=O81,"ниже середины",S81&lt;=P81,"выше середины",S81&gt;P81,"выше максимума")</f>
        <v>ниже середины</v>
      </c>
      <c r="R81">
        <f t="shared" si="12"/>
        <v>0</v>
      </c>
      <c r="S81">
        <f t="shared" si="13"/>
        <v>129000</v>
      </c>
      <c r="T81">
        <f t="shared" si="9"/>
        <v>1000</v>
      </c>
      <c r="U81">
        <f t="shared" si="14"/>
        <v>0</v>
      </c>
      <c r="V81">
        <f t="shared" si="10"/>
        <v>0</v>
      </c>
      <c r="W81">
        <f t="shared" si="11"/>
        <v>0</v>
      </c>
    </row>
    <row r="82" spans="1:23" x14ac:dyDescent="0.2">
      <c r="A82">
        <v>1080</v>
      </c>
      <c r="B82" s="1">
        <v>45809</v>
      </c>
      <c r="C82" t="s">
        <v>114</v>
      </c>
      <c r="D82" t="s">
        <v>106</v>
      </c>
      <c r="E82" t="s">
        <v>107</v>
      </c>
      <c r="F82" t="s">
        <v>44</v>
      </c>
      <c r="G82" t="s">
        <v>107</v>
      </c>
      <c r="H82" t="s">
        <v>23</v>
      </c>
      <c r="I82">
        <v>14</v>
      </c>
      <c r="J82">
        <v>1</v>
      </c>
      <c r="K82">
        <v>142000</v>
      </c>
      <c r="L82" s="1">
        <v>44936</v>
      </c>
      <c r="N82">
        <f>SUMIFS(salary_bands[salary_min],salary_bands[prof_group],G82,salary_bands[grade],I82)</f>
        <v>116000</v>
      </c>
      <c r="O82">
        <f>SUMIFS(salary_bands[salary_mid],salary_bands[prof_group],G82,salary_bands[grade],I82)</f>
        <v>137000</v>
      </c>
      <c r="P82">
        <f>SUMIFS(salary_bands[salary_max],salary_bands[prof_group],G82,salary_bands[grade],I82)</f>
        <v>158000</v>
      </c>
      <c r="Q82" t="str" cm="1">
        <f t="array" ref="Q82">_xlfn.IFS(S82&lt;N82,"ниже минимума",S82&lt;=O82,"ниже середины",S82&lt;=P82,"выше середины",S82&gt;P82,"выше максимума")</f>
        <v>выше середины</v>
      </c>
      <c r="R82">
        <f t="shared" si="12"/>
        <v>0</v>
      </c>
      <c r="S82">
        <f t="shared" si="13"/>
        <v>142000</v>
      </c>
      <c r="T82">
        <f t="shared" si="9"/>
        <v>0</v>
      </c>
      <c r="U82">
        <f t="shared" si="14"/>
        <v>0</v>
      </c>
      <c r="V82">
        <f t="shared" si="10"/>
        <v>0</v>
      </c>
      <c r="W82">
        <f t="shared" si="11"/>
        <v>0</v>
      </c>
    </row>
    <row r="83" spans="1:23" x14ac:dyDescent="0.2">
      <c r="A83">
        <v>1081</v>
      </c>
      <c r="B83" s="1">
        <v>45809</v>
      </c>
      <c r="C83" t="s">
        <v>115</v>
      </c>
      <c r="D83" t="s">
        <v>106</v>
      </c>
      <c r="E83" t="s">
        <v>107</v>
      </c>
      <c r="F83" t="s">
        <v>44</v>
      </c>
      <c r="G83" t="s">
        <v>107</v>
      </c>
      <c r="H83" t="s">
        <v>23</v>
      </c>
      <c r="I83">
        <v>14</v>
      </c>
      <c r="J83">
        <v>1</v>
      </c>
      <c r="K83">
        <v>155000</v>
      </c>
      <c r="L83" s="1">
        <v>44727</v>
      </c>
      <c r="N83">
        <f>SUMIFS(salary_bands[salary_min],salary_bands[prof_group],G83,salary_bands[grade],I83)</f>
        <v>116000</v>
      </c>
      <c r="O83">
        <f>SUMIFS(salary_bands[salary_mid],salary_bands[prof_group],G83,salary_bands[grade],I83)</f>
        <v>137000</v>
      </c>
      <c r="P83">
        <f>SUMIFS(salary_bands[salary_max],salary_bands[prof_group],G83,salary_bands[grade],I83)</f>
        <v>158000</v>
      </c>
      <c r="Q83" t="str" cm="1">
        <f t="array" ref="Q83">_xlfn.IFS(S83&lt;N83,"ниже минимума",S83&lt;=O83,"ниже середины",S83&lt;=P83,"выше середины",S83&gt;P83,"выше максимума")</f>
        <v>выше середины</v>
      </c>
      <c r="R83">
        <f t="shared" si="12"/>
        <v>0</v>
      </c>
      <c r="S83">
        <f t="shared" si="13"/>
        <v>155000</v>
      </c>
      <c r="T83">
        <f t="shared" si="9"/>
        <v>0</v>
      </c>
      <c r="U83">
        <f t="shared" si="14"/>
        <v>0</v>
      </c>
      <c r="V83">
        <f t="shared" si="10"/>
        <v>0</v>
      </c>
      <c r="W83">
        <f t="shared" si="11"/>
        <v>0</v>
      </c>
    </row>
    <row r="84" spans="1:23" x14ac:dyDescent="0.2">
      <c r="A84">
        <v>1082</v>
      </c>
      <c r="B84" s="1">
        <v>45809</v>
      </c>
      <c r="C84" t="s">
        <v>116</v>
      </c>
      <c r="D84" t="s">
        <v>106</v>
      </c>
      <c r="E84" t="s">
        <v>107</v>
      </c>
      <c r="F84" t="s">
        <v>44</v>
      </c>
      <c r="G84" t="s">
        <v>107</v>
      </c>
      <c r="H84" t="s">
        <v>23</v>
      </c>
      <c r="I84">
        <v>14</v>
      </c>
      <c r="J84">
        <v>1</v>
      </c>
      <c r="K84">
        <v>151000</v>
      </c>
      <c r="L84" s="1">
        <v>44936</v>
      </c>
      <c r="N84">
        <f>SUMIFS(salary_bands[salary_min],salary_bands[prof_group],G84,salary_bands[grade],I84)</f>
        <v>116000</v>
      </c>
      <c r="O84">
        <f>SUMIFS(salary_bands[salary_mid],salary_bands[prof_group],G84,salary_bands[grade],I84)</f>
        <v>137000</v>
      </c>
      <c r="P84">
        <f>SUMIFS(salary_bands[salary_max],salary_bands[prof_group],G84,salary_bands[grade],I84)</f>
        <v>158000</v>
      </c>
      <c r="Q84" t="str" cm="1">
        <f t="array" ref="Q84">_xlfn.IFS(S84&lt;N84,"ниже минимума",S84&lt;=O84,"ниже середины",S84&lt;=P84,"выше середины",S84&gt;P84,"выше максимума")</f>
        <v>выше середины</v>
      </c>
      <c r="R84">
        <f t="shared" si="12"/>
        <v>0</v>
      </c>
      <c r="S84">
        <f t="shared" si="13"/>
        <v>151000</v>
      </c>
      <c r="T84">
        <f t="shared" si="9"/>
        <v>0</v>
      </c>
      <c r="U84">
        <f t="shared" si="14"/>
        <v>0</v>
      </c>
      <c r="V84">
        <f t="shared" si="10"/>
        <v>0</v>
      </c>
      <c r="W84">
        <f t="shared" si="11"/>
        <v>0</v>
      </c>
    </row>
    <row r="85" spans="1:23" x14ac:dyDescent="0.2">
      <c r="A85">
        <v>1083</v>
      </c>
      <c r="B85" s="1">
        <v>45809</v>
      </c>
      <c r="C85" t="s">
        <v>117</v>
      </c>
      <c r="D85" t="s">
        <v>106</v>
      </c>
      <c r="E85" t="s">
        <v>107</v>
      </c>
      <c r="F85" t="s">
        <v>44</v>
      </c>
      <c r="G85" t="s">
        <v>107</v>
      </c>
      <c r="H85" t="s">
        <v>27</v>
      </c>
      <c r="I85">
        <v>15</v>
      </c>
      <c r="J85">
        <v>1</v>
      </c>
      <c r="K85">
        <v>141000</v>
      </c>
      <c r="L85" s="1">
        <v>45170</v>
      </c>
      <c r="N85">
        <f>SUMIFS(salary_bands[salary_min],salary_bands[prof_group],G85,salary_bands[grade],I85)</f>
        <v>122000</v>
      </c>
      <c r="O85">
        <f>SUMIFS(salary_bands[salary_mid],salary_bands[prof_group],G85,salary_bands[grade],I85)</f>
        <v>144000</v>
      </c>
      <c r="P85">
        <f>SUMIFS(salary_bands[salary_max],salary_bands[prof_group],G85,salary_bands[grade],I85)</f>
        <v>166000</v>
      </c>
      <c r="Q85" t="str" cm="1">
        <f t="array" ref="Q85">_xlfn.IFS(S85&lt;N85,"ниже минимума",S85&lt;=O85,"ниже середины",S85&lt;=P85,"выше середины",S85&gt;P85,"выше максимума")</f>
        <v>ниже середины</v>
      </c>
      <c r="R85">
        <f t="shared" si="12"/>
        <v>0</v>
      </c>
      <c r="S85">
        <f t="shared" si="13"/>
        <v>141000</v>
      </c>
      <c r="T85">
        <f t="shared" si="9"/>
        <v>3000</v>
      </c>
      <c r="U85">
        <f t="shared" si="14"/>
        <v>0</v>
      </c>
      <c r="V85">
        <f t="shared" si="10"/>
        <v>0</v>
      </c>
      <c r="W85">
        <f t="shared" si="11"/>
        <v>0</v>
      </c>
    </row>
    <row r="86" spans="1:23" x14ac:dyDescent="0.2">
      <c r="A86">
        <v>1084</v>
      </c>
      <c r="B86" s="1">
        <v>45809</v>
      </c>
      <c r="C86" t="s">
        <v>118</v>
      </c>
      <c r="D86" t="s">
        <v>106</v>
      </c>
      <c r="E86" t="s">
        <v>107</v>
      </c>
      <c r="F86" t="s">
        <v>44</v>
      </c>
      <c r="G86" t="s">
        <v>107</v>
      </c>
      <c r="H86" t="s">
        <v>27</v>
      </c>
      <c r="I86">
        <v>15</v>
      </c>
      <c r="J86">
        <v>0.75</v>
      </c>
      <c r="K86">
        <v>95250</v>
      </c>
      <c r="L86" s="1">
        <v>44520</v>
      </c>
      <c r="N86">
        <f>SUMIFS(salary_bands[salary_min],salary_bands[prof_group],G86,salary_bands[grade],I86)</f>
        <v>122000</v>
      </c>
      <c r="O86">
        <f>SUMIFS(salary_bands[salary_mid],salary_bands[prof_group],G86,salary_bands[grade],I86)</f>
        <v>144000</v>
      </c>
      <c r="P86">
        <f>SUMIFS(salary_bands[salary_max],salary_bands[prof_group],G86,salary_bands[grade],I86)</f>
        <v>166000</v>
      </c>
      <c r="Q86" t="str" cm="1">
        <f t="array" ref="Q86">_xlfn.IFS(S86&lt;N86,"ниже минимума",S86&lt;=O86,"ниже середины",S86&lt;=P86,"выше середины",S86&gt;P86,"выше максимума")</f>
        <v>ниже середины</v>
      </c>
      <c r="R86">
        <f t="shared" si="12"/>
        <v>0</v>
      </c>
      <c r="S86">
        <f t="shared" si="13"/>
        <v>127000</v>
      </c>
      <c r="T86">
        <f t="shared" si="9"/>
        <v>17000</v>
      </c>
      <c r="U86">
        <f t="shared" si="14"/>
        <v>0</v>
      </c>
      <c r="V86">
        <f t="shared" si="10"/>
        <v>12750</v>
      </c>
      <c r="W86">
        <f t="shared" si="11"/>
        <v>12750</v>
      </c>
    </row>
    <row r="87" spans="1:23" x14ac:dyDescent="0.2">
      <c r="A87">
        <v>1085</v>
      </c>
      <c r="B87" s="1">
        <v>45809</v>
      </c>
      <c r="C87" t="s">
        <v>119</v>
      </c>
      <c r="D87" t="s">
        <v>106</v>
      </c>
      <c r="E87" t="s">
        <v>107</v>
      </c>
      <c r="F87" t="s">
        <v>44</v>
      </c>
      <c r="G87" t="s">
        <v>107</v>
      </c>
      <c r="H87" t="s">
        <v>31</v>
      </c>
      <c r="I87">
        <v>16</v>
      </c>
      <c r="J87">
        <v>0.6</v>
      </c>
      <c r="K87">
        <v>93600</v>
      </c>
      <c r="L87" s="1">
        <v>45342</v>
      </c>
      <c r="N87">
        <f>SUMIFS(salary_bands[salary_min],salary_bands[prof_group],G87,salary_bands[grade],I87)</f>
        <v>128000</v>
      </c>
      <c r="O87">
        <f>SUMIFS(salary_bands[salary_mid],salary_bands[prof_group],G87,salary_bands[grade],I87)</f>
        <v>151000</v>
      </c>
      <c r="P87">
        <f>SUMIFS(salary_bands[salary_max],salary_bands[prof_group],G87,salary_bands[grade],I87)</f>
        <v>174000</v>
      </c>
      <c r="Q87" t="str" cm="1">
        <f t="array" ref="Q87">_xlfn.IFS(S87&lt;N87,"ниже минимума",S87&lt;=O87,"ниже середины",S87&lt;=P87,"выше середины",S87&gt;P87,"выше максимума")</f>
        <v>выше середины</v>
      </c>
      <c r="R87">
        <f t="shared" si="12"/>
        <v>0</v>
      </c>
      <c r="S87">
        <f t="shared" si="13"/>
        <v>156000</v>
      </c>
      <c r="T87">
        <f t="shared" si="9"/>
        <v>0</v>
      </c>
      <c r="U87">
        <f t="shared" si="14"/>
        <v>0</v>
      </c>
      <c r="V87">
        <f t="shared" si="10"/>
        <v>0</v>
      </c>
      <c r="W87">
        <f t="shared" si="11"/>
        <v>0</v>
      </c>
    </row>
    <row r="88" spans="1:23" x14ac:dyDescent="0.2">
      <c r="A88">
        <v>1086</v>
      </c>
      <c r="B88" s="1">
        <v>45809</v>
      </c>
      <c r="C88" t="s">
        <v>120</v>
      </c>
      <c r="D88" t="s">
        <v>106</v>
      </c>
      <c r="E88" t="s">
        <v>107</v>
      </c>
      <c r="F88" t="s">
        <v>44</v>
      </c>
      <c r="G88" t="s">
        <v>107</v>
      </c>
      <c r="H88" t="s">
        <v>31</v>
      </c>
      <c r="I88">
        <v>16</v>
      </c>
      <c r="J88">
        <v>1</v>
      </c>
      <c r="K88">
        <v>139000</v>
      </c>
      <c r="L88" s="1">
        <v>45601</v>
      </c>
      <c r="N88">
        <f>SUMIFS(salary_bands[salary_min],salary_bands[prof_group],G88,salary_bands[grade],I88)</f>
        <v>128000</v>
      </c>
      <c r="O88">
        <f>SUMIFS(salary_bands[salary_mid],salary_bands[prof_group],G88,salary_bands[grade],I88)</f>
        <v>151000</v>
      </c>
      <c r="P88">
        <f>SUMIFS(salary_bands[salary_max],salary_bands[prof_group],G88,salary_bands[grade],I88)</f>
        <v>174000</v>
      </c>
      <c r="Q88" t="str" cm="1">
        <f t="array" ref="Q88">_xlfn.IFS(S88&lt;N88,"ниже минимума",S88&lt;=O88,"ниже середины",S88&lt;=P88,"выше середины",S88&gt;P88,"выше максимума")</f>
        <v>ниже середины</v>
      </c>
      <c r="R88">
        <f t="shared" si="12"/>
        <v>0</v>
      </c>
      <c r="S88">
        <f t="shared" si="13"/>
        <v>139000</v>
      </c>
      <c r="T88">
        <f t="shared" si="9"/>
        <v>12000</v>
      </c>
      <c r="U88">
        <f t="shared" si="14"/>
        <v>0</v>
      </c>
      <c r="V88">
        <f t="shared" si="10"/>
        <v>12000</v>
      </c>
      <c r="W88">
        <f t="shared" si="11"/>
        <v>12000</v>
      </c>
    </row>
    <row r="89" spans="1:23" x14ac:dyDescent="0.2">
      <c r="A89">
        <v>1087</v>
      </c>
      <c r="B89" s="1">
        <v>45809</v>
      </c>
      <c r="C89" t="s">
        <v>85</v>
      </c>
      <c r="D89" t="s">
        <v>106</v>
      </c>
      <c r="E89" t="s">
        <v>107</v>
      </c>
      <c r="F89" t="s">
        <v>44</v>
      </c>
      <c r="G89" t="s">
        <v>107</v>
      </c>
      <c r="H89" t="s">
        <v>31</v>
      </c>
      <c r="I89">
        <v>16</v>
      </c>
      <c r="J89">
        <v>0.8</v>
      </c>
      <c r="K89">
        <v>124800</v>
      </c>
      <c r="L89" s="1">
        <v>43845</v>
      </c>
      <c r="N89">
        <f>SUMIFS(salary_bands[salary_min],salary_bands[prof_group],G89,salary_bands[grade],I89)</f>
        <v>128000</v>
      </c>
      <c r="O89">
        <f>SUMIFS(salary_bands[salary_mid],salary_bands[prof_group],G89,salary_bands[grade],I89)</f>
        <v>151000</v>
      </c>
      <c r="P89">
        <f>SUMIFS(salary_bands[salary_max],salary_bands[prof_group],G89,salary_bands[grade],I89)</f>
        <v>174000</v>
      </c>
      <c r="Q89" t="str" cm="1">
        <f t="array" ref="Q89">_xlfn.IFS(S89&lt;N89,"ниже минимума",S89&lt;=O89,"ниже середины",S89&lt;=P89,"выше середины",S89&gt;P89,"выше максимума")</f>
        <v>выше середины</v>
      </c>
      <c r="R89">
        <f t="shared" si="12"/>
        <v>0</v>
      </c>
      <c r="S89">
        <f t="shared" si="13"/>
        <v>156000</v>
      </c>
      <c r="T89">
        <f t="shared" si="9"/>
        <v>0</v>
      </c>
      <c r="U89">
        <f t="shared" si="14"/>
        <v>0</v>
      </c>
      <c r="V89">
        <f t="shared" si="10"/>
        <v>0</v>
      </c>
      <c r="W89">
        <f t="shared" si="11"/>
        <v>0</v>
      </c>
    </row>
    <row r="90" spans="1:23" x14ac:dyDescent="0.2">
      <c r="A90">
        <v>1088</v>
      </c>
      <c r="B90" s="1">
        <v>45809</v>
      </c>
      <c r="C90" t="s">
        <v>121</v>
      </c>
      <c r="D90" t="s">
        <v>106</v>
      </c>
      <c r="E90" t="s">
        <v>107</v>
      </c>
      <c r="F90" t="s">
        <v>44</v>
      </c>
      <c r="G90" t="s">
        <v>107</v>
      </c>
      <c r="H90" t="s">
        <v>31</v>
      </c>
      <c r="I90">
        <v>16</v>
      </c>
      <c r="J90">
        <v>0.5</v>
      </c>
      <c r="K90">
        <v>75000</v>
      </c>
      <c r="L90" s="1">
        <v>45170</v>
      </c>
      <c r="N90">
        <f>SUMIFS(salary_bands[salary_min],salary_bands[prof_group],G90,salary_bands[grade],I90)</f>
        <v>128000</v>
      </c>
      <c r="O90">
        <f>SUMIFS(salary_bands[salary_mid],salary_bands[prof_group],G90,salary_bands[grade],I90)</f>
        <v>151000</v>
      </c>
      <c r="P90">
        <f>SUMIFS(salary_bands[salary_max],salary_bands[prof_group],G90,salary_bands[grade],I90)</f>
        <v>174000</v>
      </c>
      <c r="Q90" t="str" cm="1">
        <f t="array" ref="Q90">_xlfn.IFS(S90&lt;N90,"ниже минимума",S90&lt;=O90,"ниже середины",S90&lt;=P90,"выше середины",S90&gt;P90,"выше максимума")</f>
        <v>ниже середины</v>
      </c>
      <c r="R90">
        <f t="shared" si="12"/>
        <v>0</v>
      </c>
      <c r="S90">
        <f t="shared" si="13"/>
        <v>150000</v>
      </c>
      <c r="T90">
        <f t="shared" si="9"/>
        <v>1000</v>
      </c>
      <c r="U90">
        <f t="shared" si="14"/>
        <v>0</v>
      </c>
      <c r="V90">
        <f t="shared" si="10"/>
        <v>0</v>
      </c>
      <c r="W90">
        <f t="shared" si="11"/>
        <v>0</v>
      </c>
    </row>
    <row r="91" spans="1:23" x14ac:dyDescent="0.2">
      <c r="A91">
        <v>1089</v>
      </c>
      <c r="B91" s="1">
        <v>45809</v>
      </c>
      <c r="C91" t="s">
        <v>122</v>
      </c>
      <c r="D91" t="s">
        <v>106</v>
      </c>
      <c r="E91" t="s">
        <v>123</v>
      </c>
      <c r="F91" t="s">
        <v>44</v>
      </c>
      <c r="G91" t="s">
        <v>123</v>
      </c>
      <c r="H91" t="s">
        <v>108</v>
      </c>
      <c r="I91">
        <v>12</v>
      </c>
      <c r="J91">
        <v>1</v>
      </c>
      <c r="K91">
        <v>110000</v>
      </c>
      <c r="L91" s="1">
        <v>44727</v>
      </c>
      <c r="N91">
        <f>SUMIFS(salary_bands[salary_min],salary_bands[prof_group],G91,salary_bands[grade],I91)</f>
        <v>0</v>
      </c>
      <c r="O91">
        <f>SUMIFS(salary_bands[salary_mid],salary_bands[prof_group],G91,salary_bands[grade],I91)</f>
        <v>0</v>
      </c>
      <c r="P91">
        <f>SUMIFS(salary_bands[salary_max],salary_bands[prof_group],G91,salary_bands[grade],I91)</f>
        <v>0</v>
      </c>
      <c r="Q91" t="s">
        <v>179</v>
      </c>
      <c r="R91">
        <f t="shared" si="12"/>
        <v>0</v>
      </c>
      <c r="S91">
        <f t="shared" si="13"/>
        <v>110000</v>
      </c>
      <c r="T91">
        <f t="shared" si="9"/>
        <v>0</v>
      </c>
      <c r="U91">
        <f t="shared" si="14"/>
        <v>0</v>
      </c>
      <c r="V91">
        <f t="shared" si="10"/>
        <v>0</v>
      </c>
      <c r="W91">
        <f t="shared" si="11"/>
        <v>0</v>
      </c>
    </row>
    <row r="92" spans="1:23" x14ac:dyDescent="0.2">
      <c r="A92">
        <v>1090</v>
      </c>
      <c r="B92" s="1">
        <v>45809</v>
      </c>
      <c r="C92" t="s">
        <v>60</v>
      </c>
      <c r="D92" t="s">
        <v>106</v>
      </c>
      <c r="E92" t="s">
        <v>123</v>
      </c>
      <c r="F92" t="s">
        <v>44</v>
      </c>
      <c r="G92" t="s">
        <v>123</v>
      </c>
      <c r="H92" t="s">
        <v>108</v>
      </c>
      <c r="I92">
        <v>12</v>
      </c>
      <c r="J92">
        <v>1</v>
      </c>
      <c r="K92">
        <v>117000</v>
      </c>
      <c r="L92" s="1">
        <v>45601</v>
      </c>
      <c r="N92">
        <f>SUMIFS(salary_bands[salary_min],salary_bands[prof_group],G92,salary_bands[grade],I92)</f>
        <v>0</v>
      </c>
      <c r="O92">
        <f>SUMIFS(salary_bands[salary_mid],salary_bands[prof_group],G92,salary_bands[grade],I92)</f>
        <v>0</v>
      </c>
      <c r="P92">
        <f>SUMIFS(salary_bands[salary_max],salary_bands[prof_group],G92,salary_bands[grade],I92)</f>
        <v>0</v>
      </c>
      <c r="Q92" t="s">
        <v>179</v>
      </c>
      <c r="R92">
        <f t="shared" si="12"/>
        <v>0</v>
      </c>
      <c r="S92">
        <f t="shared" si="13"/>
        <v>117000</v>
      </c>
      <c r="T92">
        <f t="shared" si="9"/>
        <v>0</v>
      </c>
      <c r="U92">
        <f t="shared" si="14"/>
        <v>0</v>
      </c>
      <c r="V92">
        <f t="shared" si="10"/>
        <v>0</v>
      </c>
      <c r="W92">
        <f t="shared" si="11"/>
        <v>0</v>
      </c>
    </row>
    <row r="93" spans="1:23" x14ac:dyDescent="0.2">
      <c r="A93">
        <v>1091</v>
      </c>
      <c r="B93" s="1">
        <v>45809</v>
      </c>
      <c r="C93" t="s">
        <v>95</v>
      </c>
      <c r="D93" t="s">
        <v>106</v>
      </c>
      <c r="E93" t="s">
        <v>123</v>
      </c>
      <c r="F93" t="s">
        <v>44</v>
      </c>
      <c r="G93" t="s">
        <v>123</v>
      </c>
      <c r="H93" t="s">
        <v>108</v>
      </c>
      <c r="I93">
        <v>12</v>
      </c>
      <c r="J93">
        <v>1</v>
      </c>
      <c r="K93">
        <v>100000</v>
      </c>
      <c r="L93" s="1">
        <v>45170</v>
      </c>
      <c r="N93">
        <f>SUMIFS(salary_bands[salary_min],salary_bands[prof_group],G93,salary_bands[grade],I93)</f>
        <v>0</v>
      </c>
      <c r="O93">
        <f>SUMIFS(salary_bands[salary_mid],salary_bands[prof_group],G93,salary_bands[grade],I93)</f>
        <v>0</v>
      </c>
      <c r="P93">
        <f>SUMIFS(salary_bands[salary_max],salary_bands[prof_group],G93,salary_bands[grade],I93)</f>
        <v>0</v>
      </c>
      <c r="Q93" t="s">
        <v>179</v>
      </c>
      <c r="R93">
        <f t="shared" si="12"/>
        <v>0</v>
      </c>
      <c r="S93">
        <f t="shared" si="13"/>
        <v>100000</v>
      </c>
      <c r="T93">
        <f t="shared" si="9"/>
        <v>0</v>
      </c>
      <c r="U93">
        <f t="shared" si="14"/>
        <v>0</v>
      </c>
      <c r="V93">
        <f t="shared" si="10"/>
        <v>0</v>
      </c>
      <c r="W93">
        <f t="shared" si="11"/>
        <v>0</v>
      </c>
    </row>
    <row r="94" spans="1:23" x14ac:dyDescent="0.2">
      <c r="A94">
        <v>1092</v>
      </c>
      <c r="B94" s="1">
        <v>45809</v>
      </c>
      <c r="C94" t="s">
        <v>124</v>
      </c>
      <c r="D94" t="s">
        <v>106</v>
      </c>
      <c r="E94" t="s">
        <v>123</v>
      </c>
      <c r="F94" t="s">
        <v>44</v>
      </c>
      <c r="G94" t="s">
        <v>123</v>
      </c>
      <c r="H94" t="s">
        <v>18</v>
      </c>
      <c r="I94">
        <v>13</v>
      </c>
      <c r="J94">
        <v>1</v>
      </c>
      <c r="K94">
        <v>123000</v>
      </c>
      <c r="L94" s="1">
        <v>45601</v>
      </c>
      <c r="N94">
        <f>SUMIFS(salary_bands[salary_min],salary_bands[prof_group],G94,salary_bands[grade],I94)</f>
        <v>98000</v>
      </c>
      <c r="O94">
        <f>SUMIFS(salary_bands[salary_mid],salary_bands[prof_group],G94,salary_bands[grade],I94)</f>
        <v>115000</v>
      </c>
      <c r="P94">
        <f>SUMIFS(salary_bands[salary_max],salary_bands[prof_group],G94,salary_bands[grade],I94)</f>
        <v>132000</v>
      </c>
      <c r="Q94" t="str" cm="1">
        <f t="array" ref="Q94">_xlfn.IFS(S94&lt;N94,"ниже минимума",S94&lt;=O94,"ниже середины",S94&lt;=P94,"выше середины",S94&gt;P94,"выше максимума")</f>
        <v>выше середины</v>
      </c>
      <c r="R94">
        <f t="shared" si="12"/>
        <v>0</v>
      </c>
      <c r="S94">
        <f t="shared" si="13"/>
        <v>123000</v>
      </c>
      <c r="T94">
        <f t="shared" si="9"/>
        <v>0</v>
      </c>
      <c r="U94">
        <f t="shared" si="14"/>
        <v>0</v>
      </c>
      <c r="V94">
        <f t="shared" si="10"/>
        <v>0</v>
      </c>
      <c r="W94">
        <f t="shared" si="11"/>
        <v>0</v>
      </c>
    </row>
    <row r="95" spans="1:23" x14ac:dyDescent="0.2">
      <c r="A95">
        <v>1093</v>
      </c>
      <c r="B95" s="1">
        <v>45809</v>
      </c>
      <c r="C95" t="s">
        <v>125</v>
      </c>
      <c r="D95" t="s">
        <v>106</v>
      </c>
      <c r="E95" t="s">
        <v>123</v>
      </c>
      <c r="F95" t="s">
        <v>44</v>
      </c>
      <c r="G95" t="s">
        <v>123</v>
      </c>
      <c r="H95" t="s">
        <v>18</v>
      </c>
      <c r="I95">
        <v>13</v>
      </c>
      <c r="J95">
        <v>1</v>
      </c>
      <c r="K95">
        <v>106000</v>
      </c>
      <c r="L95" s="1">
        <v>44256</v>
      </c>
      <c r="N95">
        <f>SUMIFS(salary_bands[salary_min],salary_bands[prof_group],G95,salary_bands[grade],I95)</f>
        <v>98000</v>
      </c>
      <c r="O95">
        <f>SUMIFS(salary_bands[salary_mid],salary_bands[prof_group],G95,salary_bands[grade],I95)</f>
        <v>115000</v>
      </c>
      <c r="P95">
        <f>SUMIFS(salary_bands[salary_max],salary_bands[prof_group],G95,salary_bands[grade],I95)</f>
        <v>132000</v>
      </c>
      <c r="Q95" t="str" cm="1">
        <f t="array" ref="Q95">_xlfn.IFS(S95&lt;N95,"ниже минимума",S95&lt;=O95,"ниже середины",S95&lt;=P95,"выше середины",S95&gt;P95,"выше максимума")</f>
        <v>ниже середины</v>
      </c>
      <c r="R95">
        <f t="shared" si="12"/>
        <v>0</v>
      </c>
      <c r="S95">
        <f t="shared" si="13"/>
        <v>106000</v>
      </c>
      <c r="T95">
        <f t="shared" si="9"/>
        <v>9000</v>
      </c>
      <c r="U95">
        <f t="shared" si="14"/>
        <v>0</v>
      </c>
      <c r="V95">
        <f t="shared" si="10"/>
        <v>9000</v>
      </c>
      <c r="W95">
        <f t="shared" si="11"/>
        <v>9000</v>
      </c>
    </row>
    <row r="96" spans="1:23" x14ac:dyDescent="0.2">
      <c r="A96">
        <v>1094</v>
      </c>
      <c r="B96" s="1">
        <v>45809</v>
      </c>
      <c r="C96" t="s">
        <v>126</v>
      </c>
      <c r="D96" t="s">
        <v>106</v>
      </c>
      <c r="E96" t="s">
        <v>123</v>
      </c>
      <c r="F96" t="s">
        <v>44</v>
      </c>
      <c r="G96" t="s">
        <v>123</v>
      </c>
      <c r="H96" t="s">
        <v>18</v>
      </c>
      <c r="I96">
        <v>13</v>
      </c>
      <c r="J96">
        <v>1</v>
      </c>
      <c r="K96">
        <v>123000</v>
      </c>
      <c r="L96" s="1">
        <v>44256</v>
      </c>
      <c r="N96">
        <f>SUMIFS(salary_bands[salary_min],salary_bands[prof_group],G96,salary_bands[grade],I96)</f>
        <v>98000</v>
      </c>
      <c r="O96">
        <f>SUMIFS(salary_bands[salary_mid],salary_bands[prof_group],G96,salary_bands[grade],I96)</f>
        <v>115000</v>
      </c>
      <c r="P96">
        <f>SUMIFS(salary_bands[salary_max],salary_bands[prof_group],G96,salary_bands[grade],I96)</f>
        <v>132000</v>
      </c>
      <c r="Q96" t="str" cm="1">
        <f t="array" ref="Q96">_xlfn.IFS(S96&lt;N96,"ниже минимума",S96&lt;=O96,"ниже середины",S96&lt;=P96,"выше середины",S96&gt;P96,"выше максимума")</f>
        <v>выше середины</v>
      </c>
      <c r="R96">
        <f t="shared" si="12"/>
        <v>0</v>
      </c>
      <c r="S96">
        <f t="shared" si="13"/>
        <v>123000</v>
      </c>
      <c r="T96">
        <f t="shared" si="9"/>
        <v>0</v>
      </c>
      <c r="U96">
        <f t="shared" si="14"/>
        <v>0</v>
      </c>
      <c r="V96">
        <f t="shared" si="10"/>
        <v>0</v>
      </c>
      <c r="W96">
        <f t="shared" si="11"/>
        <v>0</v>
      </c>
    </row>
    <row r="97" spans="1:23" x14ac:dyDescent="0.2">
      <c r="A97">
        <v>1095</v>
      </c>
      <c r="B97" s="1">
        <v>45809</v>
      </c>
      <c r="C97" t="s">
        <v>127</v>
      </c>
      <c r="D97" t="s">
        <v>106</v>
      </c>
      <c r="E97" t="s">
        <v>123</v>
      </c>
      <c r="F97" t="s">
        <v>44</v>
      </c>
      <c r="G97" t="s">
        <v>123</v>
      </c>
      <c r="H97" t="s">
        <v>18</v>
      </c>
      <c r="I97">
        <v>13</v>
      </c>
      <c r="J97">
        <v>1</v>
      </c>
      <c r="K97">
        <v>110000</v>
      </c>
      <c r="L97" s="1">
        <v>44520</v>
      </c>
      <c r="N97">
        <f>SUMIFS(salary_bands[salary_min],salary_bands[prof_group],G97,salary_bands[grade],I97)</f>
        <v>98000</v>
      </c>
      <c r="O97">
        <f>SUMIFS(salary_bands[salary_mid],salary_bands[prof_group],G97,salary_bands[grade],I97)</f>
        <v>115000</v>
      </c>
      <c r="P97">
        <f>SUMIFS(salary_bands[salary_max],salary_bands[prof_group],G97,salary_bands[grade],I97)</f>
        <v>132000</v>
      </c>
      <c r="Q97" t="str" cm="1">
        <f t="array" ref="Q97">_xlfn.IFS(S97&lt;N97,"ниже минимума",S97&lt;=O97,"ниже середины",S97&lt;=P97,"выше середины",S97&gt;P97,"выше максимума")</f>
        <v>ниже середины</v>
      </c>
      <c r="R97">
        <f t="shared" si="12"/>
        <v>0</v>
      </c>
      <c r="S97">
        <f t="shared" si="13"/>
        <v>110000</v>
      </c>
      <c r="T97">
        <f t="shared" si="9"/>
        <v>5000</v>
      </c>
      <c r="U97">
        <f t="shared" si="14"/>
        <v>0</v>
      </c>
      <c r="V97">
        <f t="shared" si="10"/>
        <v>5000</v>
      </c>
      <c r="W97">
        <f t="shared" si="11"/>
        <v>5000</v>
      </c>
    </row>
    <row r="98" spans="1:23" x14ac:dyDescent="0.2">
      <c r="A98">
        <v>1096</v>
      </c>
      <c r="B98" s="1">
        <v>45809</v>
      </c>
      <c r="C98" t="s">
        <v>50</v>
      </c>
      <c r="D98" t="s">
        <v>106</v>
      </c>
      <c r="E98" t="s">
        <v>123</v>
      </c>
      <c r="F98" t="s">
        <v>44</v>
      </c>
      <c r="G98" t="s">
        <v>123</v>
      </c>
      <c r="H98" t="s">
        <v>23</v>
      </c>
      <c r="I98">
        <v>14</v>
      </c>
      <c r="J98">
        <v>0.8</v>
      </c>
      <c r="K98">
        <v>92000</v>
      </c>
      <c r="L98" s="1">
        <v>44256</v>
      </c>
      <c r="N98">
        <f>SUMIFS(salary_bands[salary_min],salary_bands[prof_group],G98,salary_bands[grade],I98)</f>
        <v>104000</v>
      </c>
      <c r="O98">
        <f>SUMIFS(salary_bands[salary_mid],salary_bands[prof_group],G98,salary_bands[grade],I98)</f>
        <v>122000</v>
      </c>
      <c r="P98">
        <f>SUMIFS(salary_bands[salary_max],salary_bands[prof_group],G98,salary_bands[grade],I98)</f>
        <v>140000</v>
      </c>
      <c r="Q98" t="str" cm="1">
        <f t="array" ref="Q98">_xlfn.IFS(S98&lt;N98,"ниже минимума",S98&lt;=O98,"ниже середины",S98&lt;=P98,"выше середины",S98&gt;P98,"выше максимума")</f>
        <v>ниже середины</v>
      </c>
      <c r="R98">
        <f t="shared" si="12"/>
        <v>0</v>
      </c>
      <c r="S98">
        <f t="shared" si="13"/>
        <v>115000</v>
      </c>
      <c r="T98">
        <f t="shared" ref="T98:T123" si="15">IF(S98&lt;O98,O98-S98,0)</f>
        <v>7000</v>
      </c>
      <c r="U98">
        <f t="shared" si="14"/>
        <v>0</v>
      </c>
      <c r="V98">
        <f t="shared" ref="V98:V123" si="16">IF(AND(R98=0, T98&gt;3000), T98*J98, 0)</f>
        <v>5600</v>
      </c>
      <c r="W98">
        <f t="shared" ref="W98:W123" si="17">U98+V98</f>
        <v>5600</v>
      </c>
    </row>
    <row r="99" spans="1:23" x14ac:dyDescent="0.2">
      <c r="A99">
        <v>1097</v>
      </c>
      <c r="B99" s="1">
        <v>45809</v>
      </c>
      <c r="C99" t="s">
        <v>128</v>
      </c>
      <c r="D99" t="s">
        <v>106</v>
      </c>
      <c r="E99" t="s">
        <v>123</v>
      </c>
      <c r="F99" t="s">
        <v>44</v>
      </c>
      <c r="G99" t="s">
        <v>123</v>
      </c>
      <c r="H99" t="s">
        <v>23</v>
      </c>
      <c r="I99">
        <v>14</v>
      </c>
      <c r="J99">
        <v>1</v>
      </c>
      <c r="K99">
        <v>121000</v>
      </c>
      <c r="L99" s="1">
        <v>44520</v>
      </c>
      <c r="N99">
        <f>SUMIFS(salary_bands[salary_min],salary_bands[prof_group],G99,salary_bands[grade],I99)</f>
        <v>104000</v>
      </c>
      <c r="O99">
        <f>SUMIFS(salary_bands[salary_mid],salary_bands[prof_group],G99,salary_bands[grade],I99)</f>
        <v>122000</v>
      </c>
      <c r="P99">
        <f>SUMIFS(salary_bands[salary_max],salary_bands[prof_group],G99,salary_bands[grade],I99)</f>
        <v>140000</v>
      </c>
      <c r="Q99" t="str" cm="1">
        <f t="array" ref="Q99">_xlfn.IFS(S99&lt;N99,"ниже минимума",S99&lt;=O99,"ниже середины",S99&lt;=P99,"выше середины",S99&gt;P99,"выше максимума")</f>
        <v>ниже середины</v>
      </c>
      <c r="R99">
        <f t="shared" si="12"/>
        <v>0</v>
      </c>
      <c r="S99">
        <f t="shared" si="13"/>
        <v>121000</v>
      </c>
      <c r="T99">
        <f t="shared" si="15"/>
        <v>1000</v>
      </c>
      <c r="U99">
        <f t="shared" si="14"/>
        <v>0</v>
      </c>
      <c r="V99">
        <f t="shared" si="16"/>
        <v>0</v>
      </c>
      <c r="W99">
        <f t="shared" si="17"/>
        <v>0</v>
      </c>
    </row>
    <row r="100" spans="1:23" x14ac:dyDescent="0.2">
      <c r="A100">
        <v>1098</v>
      </c>
      <c r="B100" s="1">
        <v>45809</v>
      </c>
      <c r="C100" t="s">
        <v>13</v>
      </c>
      <c r="D100" t="s">
        <v>106</v>
      </c>
      <c r="E100" t="s">
        <v>123</v>
      </c>
      <c r="F100" t="s">
        <v>44</v>
      </c>
      <c r="G100" t="s">
        <v>123</v>
      </c>
      <c r="H100" t="s">
        <v>23</v>
      </c>
      <c r="I100">
        <v>14</v>
      </c>
      <c r="J100">
        <v>1</v>
      </c>
      <c r="K100">
        <v>135000</v>
      </c>
      <c r="L100" s="1">
        <v>45342</v>
      </c>
      <c r="N100">
        <f>SUMIFS(salary_bands[salary_min],salary_bands[prof_group],G100,salary_bands[grade],I100)</f>
        <v>104000</v>
      </c>
      <c r="O100">
        <f>SUMIFS(salary_bands[salary_mid],salary_bands[prof_group],G100,salary_bands[grade],I100)</f>
        <v>122000</v>
      </c>
      <c r="P100">
        <f>SUMIFS(salary_bands[salary_max],salary_bands[prof_group],G100,salary_bands[grade],I100)</f>
        <v>140000</v>
      </c>
      <c r="Q100" t="str" cm="1">
        <f t="array" ref="Q100">_xlfn.IFS(S100&lt;N100,"ниже минимума",S100&lt;=O100,"ниже середины",S100&lt;=P100,"выше середины",S100&gt;P100,"выше максимума")</f>
        <v>выше середины</v>
      </c>
      <c r="R100">
        <f t="shared" si="12"/>
        <v>0</v>
      </c>
      <c r="S100">
        <f t="shared" si="13"/>
        <v>135000</v>
      </c>
      <c r="T100">
        <f t="shared" si="15"/>
        <v>0</v>
      </c>
      <c r="U100">
        <f t="shared" si="14"/>
        <v>0</v>
      </c>
      <c r="V100">
        <f t="shared" si="16"/>
        <v>0</v>
      </c>
      <c r="W100">
        <f t="shared" si="17"/>
        <v>0</v>
      </c>
    </row>
    <row r="101" spans="1:23" x14ac:dyDescent="0.2">
      <c r="A101">
        <v>1099</v>
      </c>
      <c r="B101" s="1">
        <v>45809</v>
      </c>
      <c r="C101" t="s">
        <v>129</v>
      </c>
      <c r="D101" t="s">
        <v>106</v>
      </c>
      <c r="E101" t="s">
        <v>123</v>
      </c>
      <c r="F101" t="s">
        <v>44</v>
      </c>
      <c r="G101" t="s">
        <v>123</v>
      </c>
      <c r="H101" t="s">
        <v>27</v>
      </c>
      <c r="I101">
        <v>15</v>
      </c>
      <c r="J101">
        <v>1</v>
      </c>
      <c r="K101">
        <v>135000</v>
      </c>
      <c r="L101" s="1">
        <v>44936</v>
      </c>
      <c r="N101">
        <f>SUMIFS(salary_bands[salary_min],salary_bands[prof_group],G101,salary_bands[grade],I101)</f>
        <v>109000</v>
      </c>
      <c r="O101">
        <f>SUMIFS(salary_bands[salary_mid],salary_bands[prof_group],G101,salary_bands[grade],I101)</f>
        <v>128000</v>
      </c>
      <c r="P101">
        <f>SUMIFS(salary_bands[salary_max],salary_bands[prof_group],G101,salary_bands[grade],I101)</f>
        <v>147000</v>
      </c>
      <c r="Q101" t="str" cm="1">
        <f t="array" ref="Q101">_xlfn.IFS(S101&lt;N101,"ниже минимума",S101&lt;=O101,"ниже середины",S101&lt;=P101,"выше середины",S101&gt;P101,"выше максимума")</f>
        <v>выше середины</v>
      </c>
      <c r="R101">
        <f t="shared" si="12"/>
        <v>0</v>
      </c>
      <c r="S101">
        <f t="shared" si="13"/>
        <v>135000</v>
      </c>
      <c r="T101">
        <f t="shared" si="15"/>
        <v>0</v>
      </c>
      <c r="U101">
        <f t="shared" si="14"/>
        <v>0</v>
      </c>
      <c r="V101">
        <f t="shared" si="16"/>
        <v>0</v>
      </c>
      <c r="W101">
        <f t="shared" si="17"/>
        <v>0</v>
      </c>
    </row>
    <row r="102" spans="1:23" x14ac:dyDescent="0.2">
      <c r="A102">
        <v>1100</v>
      </c>
      <c r="B102" s="1">
        <v>45809</v>
      </c>
      <c r="C102" t="s">
        <v>104</v>
      </c>
      <c r="D102" t="s">
        <v>106</v>
      </c>
      <c r="E102" t="s">
        <v>123</v>
      </c>
      <c r="F102" t="s">
        <v>44</v>
      </c>
      <c r="G102" t="s">
        <v>123</v>
      </c>
      <c r="H102" t="s">
        <v>27</v>
      </c>
      <c r="I102">
        <v>15</v>
      </c>
      <c r="J102">
        <v>0.3</v>
      </c>
      <c r="K102">
        <v>39000</v>
      </c>
      <c r="L102" s="1">
        <v>45342</v>
      </c>
      <c r="N102">
        <f>SUMIFS(salary_bands[salary_min],salary_bands[prof_group],G102,salary_bands[grade],I102)</f>
        <v>109000</v>
      </c>
      <c r="O102">
        <f>SUMIFS(salary_bands[salary_mid],salary_bands[prof_group],G102,salary_bands[grade],I102)</f>
        <v>128000</v>
      </c>
      <c r="P102">
        <f>SUMIFS(salary_bands[salary_max],salary_bands[prof_group],G102,salary_bands[grade],I102)</f>
        <v>147000</v>
      </c>
      <c r="Q102" t="str" cm="1">
        <f t="array" ref="Q102">_xlfn.IFS(S102&lt;N102,"ниже минимума",S102&lt;=O102,"ниже середины",S102&lt;=P102,"выше середины",S102&gt;P102,"выше максимума")</f>
        <v>выше середины</v>
      </c>
      <c r="R102">
        <f t="shared" si="12"/>
        <v>0</v>
      </c>
      <c r="S102">
        <f t="shared" si="13"/>
        <v>130000</v>
      </c>
      <c r="T102">
        <f t="shared" si="15"/>
        <v>0</v>
      </c>
      <c r="U102">
        <f t="shared" si="14"/>
        <v>0</v>
      </c>
      <c r="V102">
        <f t="shared" si="16"/>
        <v>0</v>
      </c>
      <c r="W102">
        <f t="shared" si="17"/>
        <v>0</v>
      </c>
    </row>
    <row r="103" spans="1:23" x14ac:dyDescent="0.2">
      <c r="A103">
        <v>1101</v>
      </c>
      <c r="B103" s="1">
        <v>45809</v>
      </c>
      <c r="C103" t="s">
        <v>130</v>
      </c>
      <c r="D103" t="s">
        <v>106</v>
      </c>
      <c r="E103" t="s">
        <v>123</v>
      </c>
      <c r="F103" t="s">
        <v>44</v>
      </c>
      <c r="G103" t="s">
        <v>123</v>
      </c>
      <c r="H103" t="s">
        <v>27</v>
      </c>
      <c r="I103">
        <v>15</v>
      </c>
      <c r="J103">
        <v>0.6</v>
      </c>
      <c r="K103">
        <v>85200</v>
      </c>
      <c r="L103" s="1">
        <v>43845</v>
      </c>
      <c r="N103">
        <f>SUMIFS(salary_bands[salary_min],salary_bands[prof_group],G103,salary_bands[grade],I103)</f>
        <v>109000</v>
      </c>
      <c r="O103">
        <f>SUMIFS(salary_bands[salary_mid],salary_bands[prof_group],G103,salary_bands[grade],I103)</f>
        <v>128000</v>
      </c>
      <c r="P103">
        <f>SUMIFS(salary_bands[salary_max],salary_bands[prof_group],G103,salary_bands[grade],I103)</f>
        <v>147000</v>
      </c>
      <c r="Q103" t="str" cm="1">
        <f t="array" ref="Q103">_xlfn.IFS(S103&lt;N103,"ниже минимума",S103&lt;=O103,"ниже середины",S103&lt;=P103,"выше середины",S103&gt;P103,"выше максимума")</f>
        <v>выше середины</v>
      </c>
      <c r="R103">
        <f t="shared" si="12"/>
        <v>0</v>
      </c>
      <c r="S103">
        <f t="shared" si="13"/>
        <v>142000</v>
      </c>
      <c r="T103">
        <f t="shared" si="15"/>
        <v>0</v>
      </c>
      <c r="U103">
        <f t="shared" si="14"/>
        <v>0</v>
      </c>
      <c r="V103">
        <f t="shared" si="16"/>
        <v>0</v>
      </c>
      <c r="W103">
        <f t="shared" si="17"/>
        <v>0</v>
      </c>
    </row>
    <row r="104" spans="1:23" x14ac:dyDescent="0.2">
      <c r="A104">
        <v>1102</v>
      </c>
      <c r="B104" s="1">
        <v>45809</v>
      </c>
      <c r="C104" t="s">
        <v>131</v>
      </c>
      <c r="D104" t="s">
        <v>106</v>
      </c>
      <c r="E104" t="s">
        <v>123</v>
      </c>
      <c r="F104" t="s">
        <v>44</v>
      </c>
      <c r="G104" t="s">
        <v>123</v>
      </c>
      <c r="H104" t="s">
        <v>27</v>
      </c>
      <c r="I104">
        <v>15</v>
      </c>
      <c r="J104">
        <v>0.5</v>
      </c>
      <c r="K104">
        <v>66500</v>
      </c>
      <c r="L104" s="1">
        <v>44520</v>
      </c>
      <c r="N104">
        <f>SUMIFS(salary_bands[salary_min],salary_bands[prof_group],G104,salary_bands[grade],I104)</f>
        <v>109000</v>
      </c>
      <c r="O104">
        <f>SUMIFS(salary_bands[salary_mid],salary_bands[prof_group],G104,salary_bands[grade],I104)</f>
        <v>128000</v>
      </c>
      <c r="P104">
        <f>SUMIFS(salary_bands[salary_max],salary_bands[prof_group],G104,salary_bands[grade],I104)</f>
        <v>147000</v>
      </c>
      <c r="Q104" t="str" cm="1">
        <f t="array" ref="Q104">_xlfn.IFS(S104&lt;N104,"ниже минимума",S104&lt;=O104,"ниже середины",S104&lt;=P104,"выше середины",S104&gt;P104,"выше максимума")</f>
        <v>выше середины</v>
      </c>
      <c r="R104">
        <f t="shared" si="12"/>
        <v>0</v>
      </c>
      <c r="S104">
        <f t="shared" si="13"/>
        <v>133000</v>
      </c>
      <c r="T104">
        <f t="shared" si="15"/>
        <v>0</v>
      </c>
      <c r="U104">
        <f t="shared" si="14"/>
        <v>0</v>
      </c>
      <c r="V104">
        <f t="shared" si="16"/>
        <v>0</v>
      </c>
      <c r="W104">
        <f t="shared" si="17"/>
        <v>0</v>
      </c>
    </row>
    <row r="105" spans="1:23" x14ac:dyDescent="0.2">
      <c r="A105">
        <v>1103</v>
      </c>
      <c r="B105" s="1">
        <v>45809</v>
      </c>
      <c r="C105" t="s">
        <v>132</v>
      </c>
      <c r="D105" t="s">
        <v>14</v>
      </c>
      <c r="E105" t="s">
        <v>21</v>
      </c>
      <c r="F105" t="s">
        <v>16</v>
      </c>
      <c r="G105" t="s">
        <v>17</v>
      </c>
      <c r="H105" t="s">
        <v>27</v>
      </c>
      <c r="I105">
        <v>15</v>
      </c>
      <c r="J105">
        <v>1</v>
      </c>
      <c r="K105">
        <v>132000</v>
      </c>
      <c r="L105" s="1">
        <v>44621</v>
      </c>
      <c r="N105">
        <f>SUMIFS(salary_bands[salary_min],salary_bands[prof_group],G105,salary_bands[grade],I105)</f>
        <v>170000</v>
      </c>
      <c r="O105">
        <f>SUMIFS(salary_bands[salary_mid],salary_bands[prof_group],G105,salary_bands[grade],I105)</f>
        <v>200000</v>
      </c>
      <c r="P105">
        <f>SUMIFS(salary_bands[salary_max],salary_bands[prof_group],G105,salary_bands[grade],I105)</f>
        <v>230000</v>
      </c>
      <c r="Q105" t="str" cm="1">
        <f t="array" ref="Q105">_xlfn.IFS(S105&lt;N105,"ниже минимума",S105&lt;=O105,"ниже середины",S105&lt;=P105,"выше середины",S105&gt;P105,"выше максимума")</f>
        <v>ниже минимума</v>
      </c>
      <c r="R105">
        <f t="shared" si="12"/>
        <v>38000</v>
      </c>
      <c r="S105">
        <f t="shared" si="13"/>
        <v>132000</v>
      </c>
      <c r="T105">
        <f t="shared" si="15"/>
        <v>68000</v>
      </c>
      <c r="U105">
        <f t="shared" si="14"/>
        <v>38000</v>
      </c>
      <c r="V105">
        <f t="shared" si="16"/>
        <v>0</v>
      </c>
      <c r="W105">
        <f t="shared" si="17"/>
        <v>38000</v>
      </c>
    </row>
    <row r="106" spans="1:23" x14ac:dyDescent="0.2">
      <c r="A106">
        <v>1104</v>
      </c>
      <c r="B106" s="1">
        <v>45809</v>
      </c>
      <c r="C106" t="s">
        <v>133</v>
      </c>
      <c r="D106" t="s">
        <v>14</v>
      </c>
      <c r="E106" t="s">
        <v>47</v>
      </c>
      <c r="F106" t="s">
        <v>44</v>
      </c>
      <c r="G106" t="s">
        <v>45</v>
      </c>
      <c r="H106" t="s">
        <v>27</v>
      </c>
      <c r="I106">
        <v>15</v>
      </c>
      <c r="J106">
        <v>1</v>
      </c>
      <c r="K106">
        <v>121000</v>
      </c>
      <c r="L106" s="1">
        <v>44621</v>
      </c>
      <c r="N106">
        <f>SUMIFS(salary_bands[salary_min],salary_bands[prof_group],G106,salary_bands[grade],I106)</f>
        <v>156000</v>
      </c>
      <c r="O106">
        <f>SUMIFS(salary_bands[salary_mid],salary_bands[prof_group],G106,salary_bands[grade],I106)</f>
        <v>184000</v>
      </c>
      <c r="P106">
        <f>SUMIFS(salary_bands[salary_max],salary_bands[prof_group],G106,salary_bands[grade],I106)</f>
        <v>212000</v>
      </c>
      <c r="Q106" t="str" cm="1">
        <f t="array" ref="Q106">_xlfn.IFS(S106&lt;N106,"ниже минимума",S106&lt;=O106,"ниже середины",S106&lt;=P106,"выше середины",S106&gt;P106,"выше максимума")</f>
        <v>ниже минимума</v>
      </c>
      <c r="R106">
        <f t="shared" si="12"/>
        <v>35000</v>
      </c>
      <c r="S106">
        <f t="shared" si="13"/>
        <v>121000</v>
      </c>
      <c r="T106">
        <f t="shared" si="15"/>
        <v>63000</v>
      </c>
      <c r="U106">
        <f t="shared" si="14"/>
        <v>35000</v>
      </c>
      <c r="V106">
        <f t="shared" si="16"/>
        <v>0</v>
      </c>
      <c r="W106">
        <f t="shared" si="17"/>
        <v>35000</v>
      </c>
    </row>
    <row r="107" spans="1:23" x14ac:dyDescent="0.2">
      <c r="A107">
        <v>1105</v>
      </c>
      <c r="B107" s="1">
        <v>45809</v>
      </c>
      <c r="C107" t="s">
        <v>134</v>
      </c>
      <c r="D107" t="s">
        <v>14</v>
      </c>
      <c r="E107" t="s">
        <v>61</v>
      </c>
      <c r="F107" t="s">
        <v>44</v>
      </c>
      <c r="G107" t="s">
        <v>61</v>
      </c>
      <c r="H107" t="s">
        <v>27</v>
      </c>
      <c r="I107">
        <v>15</v>
      </c>
      <c r="J107">
        <v>1</v>
      </c>
      <c r="K107">
        <v>123000</v>
      </c>
      <c r="L107" s="1">
        <v>44621</v>
      </c>
      <c r="N107">
        <f>SUMIFS(salary_bands[salary_min],salary_bands[prof_group],G107,salary_bands[grade],I107)</f>
        <v>150000</v>
      </c>
      <c r="O107">
        <f>SUMIFS(salary_bands[salary_mid],salary_bands[prof_group],G107,salary_bands[grade],I107)</f>
        <v>176000</v>
      </c>
      <c r="P107">
        <f>SUMIFS(salary_bands[salary_max],salary_bands[prof_group],G107,salary_bands[grade],I107)</f>
        <v>202000</v>
      </c>
      <c r="Q107" t="str" cm="1">
        <f t="array" ref="Q107">_xlfn.IFS(S107&lt;N107,"ниже минимума",S107&lt;=O107,"ниже середины",S107&lt;=P107,"выше середины",S107&gt;P107,"выше максимума")</f>
        <v>ниже минимума</v>
      </c>
      <c r="R107">
        <f t="shared" si="12"/>
        <v>27000</v>
      </c>
      <c r="S107">
        <f t="shared" si="13"/>
        <v>123000</v>
      </c>
      <c r="T107">
        <f t="shared" si="15"/>
        <v>53000</v>
      </c>
      <c r="U107">
        <f t="shared" si="14"/>
        <v>27000</v>
      </c>
      <c r="V107">
        <f t="shared" si="16"/>
        <v>0</v>
      </c>
      <c r="W107">
        <f t="shared" si="17"/>
        <v>27000</v>
      </c>
    </row>
    <row r="108" spans="1:23" x14ac:dyDescent="0.2">
      <c r="A108">
        <v>1106</v>
      </c>
      <c r="B108" s="1">
        <v>45809</v>
      </c>
      <c r="C108" t="s">
        <v>135</v>
      </c>
      <c r="D108" t="s">
        <v>78</v>
      </c>
      <c r="E108" t="s">
        <v>79</v>
      </c>
      <c r="F108" t="s">
        <v>44</v>
      </c>
      <c r="G108" t="s">
        <v>80</v>
      </c>
      <c r="H108" t="s">
        <v>27</v>
      </c>
      <c r="I108">
        <v>15</v>
      </c>
      <c r="J108">
        <v>1</v>
      </c>
      <c r="K108">
        <v>113000</v>
      </c>
      <c r="L108" s="1">
        <v>44621</v>
      </c>
      <c r="N108">
        <f>SUMIFS(salary_bands[salary_min],salary_bands[prof_group],G108,salary_bands[grade],I108)</f>
        <v>143000</v>
      </c>
      <c r="O108">
        <f>SUMIFS(salary_bands[salary_mid],salary_bands[prof_group],G108,salary_bands[grade],I108)</f>
        <v>168000</v>
      </c>
      <c r="P108">
        <f>SUMIFS(salary_bands[salary_max],salary_bands[prof_group],G108,salary_bands[grade],I108)</f>
        <v>193000</v>
      </c>
      <c r="Q108" t="str" cm="1">
        <f t="array" ref="Q108">_xlfn.IFS(S108&lt;N108,"ниже минимума",S108&lt;=O108,"ниже середины",S108&lt;=P108,"выше середины",S108&gt;P108,"выше максимума")</f>
        <v>ниже минимума</v>
      </c>
      <c r="R108">
        <f t="shared" si="12"/>
        <v>30000</v>
      </c>
      <c r="S108">
        <f t="shared" si="13"/>
        <v>113000</v>
      </c>
      <c r="T108">
        <f t="shared" si="15"/>
        <v>55000</v>
      </c>
      <c r="U108">
        <f t="shared" si="14"/>
        <v>30000</v>
      </c>
      <c r="V108">
        <f t="shared" si="16"/>
        <v>0</v>
      </c>
      <c r="W108">
        <f t="shared" si="17"/>
        <v>30000</v>
      </c>
    </row>
    <row r="109" spans="1:23" x14ac:dyDescent="0.2">
      <c r="A109">
        <v>1107</v>
      </c>
      <c r="B109" s="1">
        <v>45809</v>
      </c>
      <c r="C109" t="s">
        <v>136</v>
      </c>
      <c r="D109" t="s">
        <v>78</v>
      </c>
      <c r="E109" t="s">
        <v>97</v>
      </c>
      <c r="F109" t="s">
        <v>44</v>
      </c>
      <c r="G109" t="s">
        <v>97</v>
      </c>
      <c r="H109" t="s">
        <v>27</v>
      </c>
      <c r="I109">
        <v>15</v>
      </c>
      <c r="J109">
        <v>1</v>
      </c>
      <c r="K109">
        <v>108000</v>
      </c>
      <c r="L109" s="1">
        <v>44621</v>
      </c>
      <c r="N109">
        <f>SUMIFS(salary_bands[salary_min],salary_bands[prof_group],G109,salary_bands[grade],I109)</f>
        <v>136000</v>
      </c>
      <c r="O109">
        <f>SUMIFS(salary_bands[salary_mid],salary_bands[prof_group],G109,salary_bands[grade],I109)</f>
        <v>160000</v>
      </c>
      <c r="P109">
        <f>SUMIFS(salary_bands[salary_max],salary_bands[prof_group],G109,salary_bands[grade],I109)</f>
        <v>184000</v>
      </c>
      <c r="Q109" t="str" cm="1">
        <f t="array" ref="Q109">_xlfn.IFS(S109&lt;N109,"ниже минимума",S109&lt;=O109,"ниже середины",S109&lt;=P109,"выше середины",S109&gt;P109,"выше максимума")</f>
        <v>ниже минимума</v>
      </c>
      <c r="R109">
        <f t="shared" si="12"/>
        <v>28000</v>
      </c>
      <c r="S109">
        <f t="shared" si="13"/>
        <v>108000</v>
      </c>
      <c r="T109">
        <f t="shared" si="15"/>
        <v>52000</v>
      </c>
      <c r="U109">
        <f t="shared" si="14"/>
        <v>28000</v>
      </c>
      <c r="V109">
        <f t="shared" si="16"/>
        <v>0</v>
      </c>
      <c r="W109">
        <f t="shared" si="17"/>
        <v>28000</v>
      </c>
    </row>
    <row r="110" spans="1:23" x14ac:dyDescent="0.2">
      <c r="A110">
        <v>1108</v>
      </c>
      <c r="B110" s="1">
        <v>45809</v>
      </c>
      <c r="C110" t="s">
        <v>137</v>
      </c>
      <c r="D110" t="s">
        <v>106</v>
      </c>
      <c r="E110" t="s">
        <v>107</v>
      </c>
      <c r="F110" t="s">
        <v>44</v>
      </c>
      <c r="G110" t="s">
        <v>107</v>
      </c>
      <c r="H110" t="s">
        <v>23</v>
      </c>
      <c r="I110">
        <v>14</v>
      </c>
      <c r="J110">
        <v>1</v>
      </c>
      <c r="K110">
        <v>99000</v>
      </c>
      <c r="L110" s="1">
        <v>44621</v>
      </c>
      <c r="N110">
        <f>SUMIFS(salary_bands[salary_min],salary_bands[prof_group],G110,salary_bands[grade],I110)</f>
        <v>116000</v>
      </c>
      <c r="O110">
        <f>SUMIFS(salary_bands[salary_mid],salary_bands[prof_group],G110,salary_bands[grade],I110)</f>
        <v>137000</v>
      </c>
      <c r="P110">
        <f>SUMIFS(salary_bands[salary_max],salary_bands[prof_group],G110,salary_bands[grade],I110)</f>
        <v>158000</v>
      </c>
      <c r="Q110" t="str" cm="1">
        <f t="array" ref="Q110">_xlfn.IFS(S110&lt;N110,"ниже минимума",S110&lt;=O110,"ниже середины",S110&lt;=P110,"выше середины",S110&gt;P110,"выше максимума")</f>
        <v>ниже минимума</v>
      </c>
      <c r="R110">
        <f t="shared" si="12"/>
        <v>17000</v>
      </c>
      <c r="S110">
        <f t="shared" si="13"/>
        <v>99000</v>
      </c>
      <c r="T110">
        <f t="shared" si="15"/>
        <v>38000</v>
      </c>
      <c r="U110">
        <f t="shared" si="14"/>
        <v>17000</v>
      </c>
      <c r="V110">
        <f t="shared" si="16"/>
        <v>0</v>
      </c>
      <c r="W110">
        <f t="shared" si="17"/>
        <v>17000</v>
      </c>
    </row>
    <row r="111" spans="1:23" x14ac:dyDescent="0.2">
      <c r="A111">
        <v>1109</v>
      </c>
      <c r="B111" s="1">
        <v>45809</v>
      </c>
      <c r="C111" t="s">
        <v>138</v>
      </c>
      <c r="D111" t="s">
        <v>106</v>
      </c>
      <c r="E111" t="s">
        <v>123</v>
      </c>
      <c r="F111" t="s">
        <v>44</v>
      </c>
      <c r="G111" t="s">
        <v>123</v>
      </c>
      <c r="H111" t="s">
        <v>18</v>
      </c>
      <c r="I111">
        <v>13</v>
      </c>
      <c r="J111">
        <v>1</v>
      </c>
      <c r="K111">
        <v>75000</v>
      </c>
      <c r="L111" s="1">
        <v>44621</v>
      </c>
      <c r="N111">
        <f>SUMIFS(salary_bands[salary_min],salary_bands[prof_group],G111,salary_bands[grade],I111)</f>
        <v>98000</v>
      </c>
      <c r="O111">
        <f>SUMIFS(salary_bands[salary_mid],salary_bands[prof_group],G111,salary_bands[grade],I111)</f>
        <v>115000</v>
      </c>
      <c r="P111">
        <f>SUMIFS(salary_bands[salary_max],salary_bands[prof_group],G111,salary_bands[grade],I111)</f>
        <v>132000</v>
      </c>
      <c r="Q111" t="str" cm="1">
        <f t="array" ref="Q111">_xlfn.IFS(S111&lt;N111,"ниже минимума",S111&lt;=O111,"ниже середины",S111&lt;=P111,"выше середины",S111&gt;P111,"выше максимума")</f>
        <v>ниже минимума</v>
      </c>
      <c r="R111">
        <f t="shared" si="12"/>
        <v>23000</v>
      </c>
      <c r="S111">
        <f t="shared" si="13"/>
        <v>75000</v>
      </c>
      <c r="T111">
        <f t="shared" si="15"/>
        <v>40000</v>
      </c>
      <c r="U111">
        <f t="shared" si="14"/>
        <v>23000</v>
      </c>
      <c r="V111">
        <f t="shared" si="16"/>
        <v>0</v>
      </c>
      <c r="W111">
        <f t="shared" si="17"/>
        <v>23000</v>
      </c>
    </row>
    <row r="112" spans="1:23" x14ac:dyDescent="0.2">
      <c r="A112">
        <v>1110</v>
      </c>
      <c r="B112" s="1">
        <v>45809</v>
      </c>
      <c r="C112" t="s">
        <v>139</v>
      </c>
      <c r="D112" t="s">
        <v>14</v>
      </c>
      <c r="E112" t="s">
        <v>45</v>
      </c>
      <c r="F112" t="s">
        <v>44</v>
      </c>
      <c r="G112" t="s">
        <v>45</v>
      </c>
      <c r="H112" t="s">
        <v>27</v>
      </c>
      <c r="I112">
        <v>15</v>
      </c>
      <c r="J112">
        <v>0.5</v>
      </c>
      <c r="K112">
        <v>64000</v>
      </c>
      <c r="L112" s="1">
        <v>45108</v>
      </c>
      <c r="N112">
        <f>SUMIFS(salary_bands[salary_min],salary_bands[prof_group],G112,salary_bands[grade],I112)</f>
        <v>156000</v>
      </c>
      <c r="O112">
        <f>SUMIFS(salary_bands[salary_mid],salary_bands[prof_group],G112,salary_bands[grade],I112)</f>
        <v>184000</v>
      </c>
      <c r="P112">
        <f>SUMIFS(salary_bands[salary_max],salary_bands[prof_group],G112,salary_bands[grade],I112)</f>
        <v>212000</v>
      </c>
      <c r="Q112" t="str" cm="1">
        <f t="array" ref="Q112">_xlfn.IFS(S112&lt;N112,"ниже минимума",S112&lt;=O112,"ниже середины",S112&lt;=P112,"выше середины",S112&gt;P112,"выше максимума")</f>
        <v>ниже минимума</v>
      </c>
      <c r="R112">
        <f t="shared" si="12"/>
        <v>28000</v>
      </c>
      <c r="S112">
        <f t="shared" si="13"/>
        <v>128000</v>
      </c>
      <c r="T112">
        <f t="shared" si="15"/>
        <v>56000</v>
      </c>
      <c r="U112">
        <f t="shared" si="14"/>
        <v>14000</v>
      </c>
      <c r="V112">
        <f t="shared" si="16"/>
        <v>0</v>
      </c>
      <c r="W112">
        <f t="shared" si="17"/>
        <v>14000</v>
      </c>
    </row>
    <row r="113" spans="1:23" x14ac:dyDescent="0.2">
      <c r="A113">
        <v>1111</v>
      </c>
      <c r="B113" s="1">
        <v>45809</v>
      </c>
      <c r="C113" t="s">
        <v>140</v>
      </c>
      <c r="D113" t="s">
        <v>14</v>
      </c>
      <c r="E113" t="s">
        <v>30</v>
      </c>
      <c r="F113" t="s">
        <v>44</v>
      </c>
      <c r="G113" t="s">
        <v>17</v>
      </c>
      <c r="H113" t="s">
        <v>141</v>
      </c>
      <c r="I113">
        <v>16</v>
      </c>
      <c r="J113">
        <v>1</v>
      </c>
      <c r="K113">
        <v>230000</v>
      </c>
      <c r="L113" s="1">
        <v>43586</v>
      </c>
      <c r="N113">
        <f>SUMIFS(salary_bands[salary_min],salary_bands[prof_group],G113,salary_bands[grade],I113)</f>
        <v>178000</v>
      </c>
      <c r="O113">
        <f>SUMIFS(salary_bands[salary_mid],salary_bands[prof_group],G113,salary_bands[grade],I113)</f>
        <v>210000</v>
      </c>
      <c r="P113">
        <f>SUMIFS(salary_bands[salary_max],salary_bands[prof_group],G113,salary_bands[grade],I113)</f>
        <v>241000</v>
      </c>
      <c r="Q113" t="str" cm="1">
        <f t="array" ref="Q113">_xlfn.IFS(S113&lt;N113,"ниже минимума",S113&lt;=O113,"ниже середины",S113&lt;=P113,"выше середины",S113&gt;P113,"выше максимума")</f>
        <v>выше середины</v>
      </c>
      <c r="R113">
        <f t="shared" si="12"/>
        <v>0</v>
      </c>
      <c r="S113">
        <f t="shared" si="13"/>
        <v>230000</v>
      </c>
      <c r="T113">
        <f t="shared" si="15"/>
        <v>0</v>
      </c>
      <c r="U113">
        <f t="shared" si="14"/>
        <v>0</v>
      </c>
      <c r="V113">
        <f t="shared" si="16"/>
        <v>0</v>
      </c>
      <c r="W113">
        <f t="shared" si="17"/>
        <v>0</v>
      </c>
    </row>
    <row r="114" spans="1:23" x14ac:dyDescent="0.2">
      <c r="A114">
        <v>1112</v>
      </c>
      <c r="B114" s="1">
        <v>45809</v>
      </c>
      <c r="C114" t="s">
        <v>142</v>
      </c>
      <c r="D114" t="s">
        <v>14</v>
      </c>
      <c r="E114" t="s">
        <v>30</v>
      </c>
      <c r="F114" t="s">
        <v>16</v>
      </c>
      <c r="G114" t="s">
        <v>17</v>
      </c>
      <c r="H114" t="s">
        <v>141</v>
      </c>
      <c r="I114">
        <v>16</v>
      </c>
      <c r="J114">
        <v>1</v>
      </c>
      <c r="K114">
        <v>210000</v>
      </c>
      <c r="L114" s="1">
        <v>44378</v>
      </c>
      <c r="N114">
        <f>SUMIFS(salary_bands[salary_min],salary_bands[prof_group],G114,salary_bands[grade],I114)</f>
        <v>178000</v>
      </c>
      <c r="O114">
        <f>SUMIFS(salary_bands[salary_mid],salary_bands[prof_group],G114,salary_bands[grade],I114)</f>
        <v>210000</v>
      </c>
      <c r="P114">
        <f>SUMIFS(salary_bands[salary_max],salary_bands[prof_group],G114,salary_bands[grade],I114)</f>
        <v>241000</v>
      </c>
      <c r="Q114" t="str" cm="1">
        <f t="array" ref="Q114">_xlfn.IFS(S114&lt;N114,"ниже минимума",S114&lt;=O114,"ниже середины",S114&lt;=P114,"выше середины",S114&gt;P114,"выше максимума")</f>
        <v>ниже середины</v>
      </c>
      <c r="R114">
        <f t="shared" si="12"/>
        <v>0</v>
      </c>
      <c r="S114">
        <f t="shared" si="13"/>
        <v>210000</v>
      </c>
      <c r="T114">
        <f t="shared" si="15"/>
        <v>0</v>
      </c>
      <c r="U114">
        <f t="shared" si="14"/>
        <v>0</v>
      </c>
      <c r="V114">
        <f t="shared" si="16"/>
        <v>0</v>
      </c>
      <c r="W114">
        <f t="shared" si="17"/>
        <v>0</v>
      </c>
    </row>
    <row r="115" spans="1:23" x14ac:dyDescent="0.2">
      <c r="A115">
        <v>1113</v>
      </c>
      <c r="B115" s="1">
        <v>45809</v>
      </c>
      <c r="C115" t="s">
        <v>143</v>
      </c>
      <c r="D115" t="s">
        <v>14</v>
      </c>
      <c r="E115" t="s">
        <v>61</v>
      </c>
      <c r="F115" t="s">
        <v>44</v>
      </c>
      <c r="G115" t="s">
        <v>61</v>
      </c>
      <c r="H115" t="s">
        <v>36</v>
      </c>
      <c r="I115">
        <v>17</v>
      </c>
      <c r="J115">
        <v>1</v>
      </c>
      <c r="K115">
        <v>194000</v>
      </c>
      <c r="L115" s="1">
        <v>44075</v>
      </c>
      <c r="N115">
        <f>SUMIFS(salary_bands[salary_min],salary_bands[prof_group],G115,salary_bands[grade],I115)</f>
        <v>165000</v>
      </c>
      <c r="O115">
        <f>SUMIFS(salary_bands[salary_mid],salary_bands[prof_group],G115,salary_bands[grade],I115)</f>
        <v>194000</v>
      </c>
      <c r="P115">
        <f>SUMIFS(salary_bands[salary_max],salary_bands[prof_group],G115,salary_bands[grade],I115)</f>
        <v>223000</v>
      </c>
      <c r="Q115" t="str" cm="1">
        <f t="array" ref="Q115">_xlfn.IFS(S115&lt;N115,"ниже минимума",S115&lt;=O115,"ниже середины",S115&lt;=P115,"выше середины",S115&gt;P115,"выше максимума")</f>
        <v>ниже середины</v>
      </c>
      <c r="R115">
        <f t="shared" si="12"/>
        <v>0</v>
      </c>
      <c r="S115">
        <f t="shared" si="13"/>
        <v>194000</v>
      </c>
      <c r="T115">
        <f t="shared" si="15"/>
        <v>0</v>
      </c>
      <c r="U115">
        <f t="shared" si="14"/>
        <v>0</v>
      </c>
      <c r="V115">
        <f t="shared" si="16"/>
        <v>0</v>
      </c>
      <c r="W115">
        <f t="shared" si="17"/>
        <v>0</v>
      </c>
    </row>
    <row r="116" spans="1:23" x14ac:dyDescent="0.2">
      <c r="A116">
        <v>1114</v>
      </c>
      <c r="B116" s="1">
        <v>45809</v>
      </c>
      <c r="C116" t="s">
        <v>144</v>
      </c>
      <c r="D116" t="s">
        <v>14</v>
      </c>
      <c r="E116" t="s">
        <v>61</v>
      </c>
      <c r="F116" t="s">
        <v>44</v>
      </c>
      <c r="G116" t="s">
        <v>61</v>
      </c>
      <c r="H116" t="s">
        <v>145</v>
      </c>
      <c r="I116">
        <v>18</v>
      </c>
      <c r="J116">
        <v>1</v>
      </c>
      <c r="K116">
        <v>202000</v>
      </c>
      <c r="L116" s="1">
        <v>44562</v>
      </c>
      <c r="M116">
        <v>1113</v>
      </c>
      <c r="N116">
        <f>SUMIFS(salary_bands[salary_min],salary_bands[prof_group],G116,salary_bands[grade],I116)</f>
        <v>172000</v>
      </c>
      <c r="O116">
        <f>SUMIFS(salary_bands[salary_mid],salary_bands[prof_group],G116,salary_bands[grade],I116)</f>
        <v>202000</v>
      </c>
      <c r="P116">
        <f>SUMIFS(salary_bands[salary_max],salary_bands[prof_group],G116,salary_bands[grade],I116)</f>
        <v>232000</v>
      </c>
      <c r="Q116" t="str" cm="1">
        <f t="array" ref="Q116">_xlfn.IFS(S116&lt;N116,"ниже минимума",S116&lt;=O116,"ниже середины",S116&lt;=P116,"выше середины",S116&gt;P116,"выше максимума")</f>
        <v>ниже середины</v>
      </c>
      <c r="R116">
        <f t="shared" si="12"/>
        <v>0</v>
      </c>
      <c r="S116">
        <f t="shared" si="13"/>
        <v>202000</v>
      </c>
      <c r="T116">
        <f t="shared" si="15"/>
        <v>0</v>
      </c>
      <c r="U116">
        <f t="shared" si="14"/>
        <v>0</v>
      </c>
      <c r="V116">
        <f t="shared" si="16"/>
        <v>0</v>
      </c>
      <c r="W116">
        <f t="shared" si="17"/>
        <v>0</v>
      </c>
    </row>
    <row r="117" spans="1:23" x14ac:dyDescent="0.2">
      <c r="A117">
        <v>1115</v>
      </c>
      <c r="B117" s="1">
        <v>45809</v>
      </c>
      <c r="C117" t="s">
        <v>146</v>
      </c>
      <c r="D117" t="s">
        <v>78</v>
      </c>
      <c r="E117" t="s">
        <v>97</v>
      </c>
      <c r="F117" t="s">
        <v>44</v>
      </c>
      <c r="G117" t="s">
        <v>97</v>
      </c>
      <c r="H117" t="s">
        <v>27</v>
      </c>
      <c r="I117">
        <v>15</v>
      </c>
      <c r="J117">
        <v>1</v>
      </c>
      <c r="K117">
        <v>92000</v>
      </c>
      <c r="L117" s="1">
        <v>44652</v>
      </c>
      <c r="N117">
        <f>SUMIFS(salary_bands[salary_min],salary_bands[prof_group],G117,salary_bands[grade],I117)</f>
        <v>136000</v>
      </c>
      <c r="O117">
        <f>SUMIFS(salary_bands[salary_mid],salary_bands[prof_group],G117,salary_bands[grade],I117)</f>
        <v>160000</v>
      </c>
      <c r="P117">
        <f>SUMIFS(salary_bands[salary_max],salary_bands[prof_group],G117,salary_bands[grade],I117)</f>
        <v>184000</v>
      </c>
      <c r="Q117" t="str" cm="1">
        <f t="array" ref="Q117">_xlfn.IFS(S117&lt;N117,"ниже минимума",S117&lt;=O117,"ниже середины",S117&lt;=P117,"выше середины",S117&gt;P117,"выше максимума")</f>
        <v>ниже минимума</v>
      </c>
      <c r="R117">
        <f t="shared" si="12"/>
        <v>44000</v>
      </c>
      <c r="S117">
        <f t="shared" si="13"/>
        <v>92000</v>
      </c>
      <c r="T117">
        <f t="shared" si="15"/>
        <v>68000</v>
      </c>
      <c r="U117">
        <f t="shared" si="14"/>
        <v>44000</v>
      </c>
      <c r="V117">
        <f t="shared" si="16"/>
        <v>0</v>
      </c>
      <c r="W117">
        <f t="shared" si="17"/>
        <v>44000</v>
      </c>
    </row>
    <row r="118" spans="1:23" x14ac:dyDescent="0.2">
      <c r="A118">
        <v>1116</v>
      </c>
      <c r="B118" s="1">
        <v>45809</v>
      </c>
      <c r="C118" t="s">
        <v>147</v>
      </c>
      <c r="D118" t="s">
        <v>78</v>
      </c>
      <c r="E118" t="s">
        <v>79</v>
      </c>
      <c r="F118" t="s">
        <v>44</v>
      </c>
      <c r="G118" t="s">
        <v>80</v>
      </c>
      <c r="H118" t="s">
        <v>23</v>
      </c>
      <c r="I118">
        <v>14</v>
      </c>
      <c r="J118">
        <v>1</v>
      </c>
      <c r="K118">
        <v>210000</v>
      </c>
      <c r="L118" s="1">
        <v>45047</v>
      </c>
      <c r="N118">
        <f>SUMIFS(salary_bands[salary_min],salary_bands[prof_group],G118,salary_bands[grade],I118)</f>
        <v>136000</v>
      </c>
      <c r="O118">
        <f>SUMIFS(salary_bands[salary_mid],salary_bands[prof_group],G118,salary_bands[grade],I118)</f>
        <v>160000</v>
      </c>
      <c r="P118">
        <f>SUMIFS(salary_bands[salary_max],salary_bands[prof_group],G118,salary_bands[grade],I118)</f>
        <v>184000</v>
      </c>
      <c r="Q118" t="str" cm="1">
        <f t="array" ref="Q118">_xlfn.IFS(S118&lt;N118,"ниже минимума",S118&lt;=O118,"ниже середины",S118&lt;=P118,"выше середины",S118&gt;P118,"выше максимума")</f>
        <v>выше максимума</v>
      </c>
      <c r="R118">
        <f t="shared" si="12"/>
        <v>0</v>
      </c>
      <c r="S118">
        <f t="shared" si="13"/>
        <v>210000</v>
      </c>
      <c r="T118">
        <f t="shared" si="15"/>
        <v>0</v>
      </c>
      <c r="U118">
        <f t="shared" si="14"/>
        <v>0</v>
      </c>
      <c r="V118">
        <f t="shared" si="16"/>
        <v>0</v>
      </c>
      <c r="W118">
        <f t="shared" si="17"/>
        <v>0</v>
      </c>
    </row>
    <row r="119" spans="1:23" x14ac:dyDescent="0.2">
      <c r="A119">
        <v>1117</v>
      </c>
      <c r="B119" s="1">
        <v>45809</v>
      </c>
      <c r="C119" t="s">
        <v>148</v>
      </c>
      <c r="D119" t="s">
        <v>78</v>
      </c>
      <c r="E119" t="s">
        <v>79</v>
      </c>
      <c r="F119" t="s">
        <v>44</v>
      </c>
      <c r="G119" t="s">
        <v>80</v>
      </c>
      <c r="H119" t="s">
        <v>23</v>
      </c>
      <c r="I119">
        <v>14</v>
      </c>
      <c r="J119">
        <v>1</v>
      </c>
      <c r="K119">
        <v>160000</v>
      </c>
      <c r="L119" s="1">
        <v>45078</v>
      </c>
      <c r="N119">
        <f>SUMIFS(salary_bands[salary_min],salary_bands[prof_group],G119,salary_bands[grade],I119)</f>
        <v>136000</v>
      </c>
      <c r="O119">
        <f>SUMIFS(salary_bands[salary_mid],salary_bands[prof_group],G119,salary_bands[grade],I119)</f>
        <v>160000</v>
      </c>
      <c r="P119">
        <f>SUMIFS(salary_bands[salary_max],salary_bands[prof_group],G119,salary_bands[grade],I119)</f>
        <v>184000</v>
      </c>
      <c r="Q119" t="str" cm="1">
        <f t="array" ref="Q119">_xlfn.IFS(S119&lt;N119,"ниже минимума",S119&lt;=O119,"ниже середины",S119&lt;=P119,"выше середины",S119&gt;P119,"выше максимума")</f>
        <v>ниже середины</v>
      </c>
      <c r="R119">
        <f t="shared" si="12"/>
        <v>0</v>
      </c>
      <c r="S119">
        <f t="shared" si="13"/>
        <v>160000</v>
      </c>
      <c r="T119">
        <f t="shared" si="15"/>
        <v>0</v>
      </c>
      <c r="U119">
        <f t="shared" si="14"/>
        <v>0</v>
      </c>
      <c r="V119">
        <f t="shared" si="16"/>
        <v>0</v>
      </c>
      <c r="W119">
        <f t="shared" si="17"/>
        <v>0</v>
      </c>
    </row>
    <row r="120" spans="1:23" x14ac:dyDescent="0.2">
      <c r="A120">
        <v>1118</v>
      </c>
      <c r="B120" s="1">
        <v>45809</v>
      </c>
      <c r="C120" t="s">
        <v>149</v>
      </c>
      <c r="D120" t="s">
        <v>106</v>
      </c>
      <c r="E120" t="s">
        <v>123</v>
      </c>
      <c r="F120" t="s">
        <v>44</v>
      </c>
      <c r="G120" t="s">
        <v>123</v>
      </c>
      <c r="H120" t="s">
        <v>23</v>
      </c>
      <c r="I120">
        <v>14</v>
      </c>
      <c r="J120">
        <v>1</v>
      </c>
      <c r="K120">
        <v>122000</v>
      </c>
      <c r="L120" s="1">
        <v>44958</v>
      </c>
      <c r="N120">
        <f>SUMIFS(salary_bands[salary_min],salary_bands[prof_group],G120,salary_bands[grade],I120)</f>
        <v>104000</v>
      </c>
      <c r="O120">
        <f>SUMIFS(salary_bands[salary_mid],salary_bands[prof_group],G120,salary_bands[grade],I120)</f>
        <v>122000</v>
      </c>
      <c r="P120">
        <f>SUMIFS(salary_bands[salary_max],salary_bands[prof_group],G120,salary_bands[grade],I120)</f>
        <v>140000</v>
      </c>
      <c r="Q120" t="str" cm="1">
        <f t="array" ref="Q120">_xlfn.IFS(S120&lt;N120,"ниже минимума",S120&lt;=O120,"ниже середины",S120&lt;=P120,"выше середины",S120&gt;P120,"выше максимума")</f>
        <v>ниже середины</v>
      </c>
      <c r="R120">
        <f t="shared" si="12"/>
        <v>0</v>
      </c>
      <c r="S120">
        <f t="shared" si="13"/>
        <v>122000</v>
      </c>
      <c r="T120">
        <f t="shared" si="15"/>
        <v>0</v>
      </c>
      <c r="U120">
        <f t="shared" si="14"/>
        <v>0</v>
      </c>
      <c r="V120">
        <f t="shared" si="16"/>
        <v>0</v>
      </c>
      <c r="W120">
        <f t="shared" si="17"/>
        <v>0</v>
      </c>
    </row>
    <row r="121" spans="1:23" x14ac:dyDescent="0.2">
      <c r="A121">
        <v>1119</v>
      </c>
      <c r="B121" s="1">
        <v>45809</v>
      </c>
      <c r="C121" t="s">
        <v>149</v>
      </c>
      <c r="D121" t="s">
        <v>106</v>
      </c>
      <c r="E121" t="s">
        <v>123</v>
      </c>
      <c r="F121" t="s">
        <v>44</v>
      </c>
      <c r="G121" t="s">
        <v>123</v>
      </c>
      <c r="H121" t="s">
        <v>23</v>
      </c>
      <c r="I121">
        <v>14</v>
      </c>
      <c r="J121">
        <v>1</v>
      </c>
      <c r="K121">
        <v>127000</v>
      </c>
      <c r="L121" s="1">
        <v>44958</v>
      </c>
      <c r="N121">
        <f>SUMIFS(salary_bands[salary_min],salary_bands[prof_group],G121,salary_bands[grade],I121)</f>
        <v>104000</v>
      </c>
      <c r="O121">
        <f>SUMIFS(salary_bands[salary_mid],salary_bands[prof_group],G121,salary_bands[grade],I121)</f>
        <v>122000</v>
      </c>
      <c r="P121">
        <f>SUMIFS(salary_bands[salary_max],salary_bands[prof_group],G121,salary_bands[grade],I121)</f>
        <v>140000</v>
      </c>
      <c r="Q121" t="str" cm="1">
        <f t="array" ref="Q121">_xlfn.IFS(S121&lt;N121,"ниже минимума",S121&lt;=O121,"ниже середины",S121&lt;=P121,"выше середины",S121&gt;P121,"выше максимума")</f>
        <v>выше середины</v>
      </c>
      <c r="R121">
        <f t="shared" si="12"/>
        <v>0</v>
      </c>
      <c r="S121">
        <f t="shared" si="13"/>
        <v>127000</v>
      </c>
      <c r="T121">
        <f t="shared" si="15"/>
        <v>0</v>
      </c>
      <c r="U121">
        <f t="shared" si="14"/>
        <v>0</v>
      </c>
      <c r="V121">
        <f t="shared" si="16"/>
        <v>0</v>
      </c>
      <c r="W121">
        <f t="shared" si="17"/>
        <v>0</v>
      </c>
    </row>
    <row r="122" spans="1:23" x14ac:dyDescent="0.2">
      <c r="A122">
        <v>1120</v>
      </c>
      <c r="B122" s="1">
        <v>45809</v>
      </c>
      <c r="C122" t="s">
        <v>150</v>
      </c>
      <c r="D122" t="s">
        <v>14</v>
      </c>
      <c r="E122" t="s">
        <v>47</v>
      </c>
      <c r="F122" t="s">
        <v>44</v>
      </c>
      <c r="G122" t="s">
        <v>45</v>
      </c>
      <c r="H122" t="s">
        <v>23</v>
      </c>
      <c r="I122">
        <v>15</v>
      </c>
      <c r="J122">
        <v>1</v>
      </c>
      <c r="K122">
        <v>184000</v>
      </c>
      <c r="L122" s="1">
        <v>44774</v>
      </c>
      <c r="N122">
        <f>SUMIFS(salary_bands[salary_min],salary_bands[prof_group],G122,salary_bands[grade],I122)</f>
        <v>156000</v>
      </c>
      <c r="O122">
        <f>SUMIFS(salary_bands[salary_mid],salary_bands[prof_group],G122,salary_bands[grade],I122)</f>
        <v>184000</v>
      </c>
      <c r="P122">
        <f>SUMIFS(salary_bands[salary_max],salary_bands[prof_group],G122,salary_bands[grade],I122)</f>
        <v>212000</v>
      </c>
      <c r="Q122" t="str" cm="1">
        <f t="array" ref="Q122">_xlfn.IFS(S122&lt;N122,"ниже минимума",S122&lt;=O122,"ниже середины",S122&lt;=P122,"выше середины",S122&gt;P122,"выше максимума")</f>
        <v>ниже середины</v>
      </c>
      <c r="R122">
        <f t="shared" si="12"/>
        <v>0</v>
      </c>
      <c r="S122">
        <f t="shared" si="13"/>
        <v>184000</v>
      </c>
      <c r="T122">
        <f t="shared" si="15"/>
        <v>0</v>
      </c>
      <c r="U122">
        <f t="shared" si="14"/>
        <v>0</v>
      </c>
      <c r="V122">
        <f t="shared" si="16"/>
        <v>0</v>
      </c>
      <c r="W122">
        <f t="shared" si="17"/>
        <v>0</v>
      </c>
    </row>
    <row r="123" spans="1:23" x14ac:dyDescent="0.2">
      <c r="A123">
        <v>1121</v>
      </c>
      <c r="B123" s="1">
        <v>45809</v>
      </c>
      <c r="C123" t="s">
        <v>151</v>
      </c>
      <c r="D123" t="s">
        <v>106</v>
      </c>
      <c r="E123" t="s">
        <v>107</v>
      </c>
      <c r="F123" t="s">
        <v>44</v>
      </c>
      <c r="G123" t="s">
        <v>107</v>
      </c>
      <c r="H123" t="s">
        <v>23</v>
      </c>
      <c r="I123">
        <v>14</v>
      </c>
      <c r="J123">
        <v>1</v>
      </c>
      <c r="K123">
        <v>137000</v>
      </c>
      <c r="L123" s="1">
        <v>45778</v>
      </c>
      <c r="N123">
        <f>SUMIFS(salary_bands[salary_min],salary_bands[prof_group],G123,salary_bands[grade],I123)</f>
        <v>116000</v>
      </c>
      <c r="O123">
        <f>SUMIFS(salary_bands[salary_mid],salary_bands[prof_group],G123,salary_bands[grade],I123)</f>
        <v>137000</v>
      </c>
      <c r="P123">
        <f>SUMIFS(salary_bands[salary_max],salary_bands[prof_group],G123,salary_bands[grade],I123)</f>
        <v>158000</v>
      </c>
      <c r="Q123" t="str" cm="1">
        <f t="array" ref="Q123">_xlfn.IFS(S123&lt;N123,"ниже минимума",S123&lt;=O123,"ниже середины",S123&lt;=P123,"выше середины",S123&gt;P123,"выше максимума")</f>
        <v>ниже середины</v>
      </c>
      <c r="R123">
        <f t="shared" si="12"/>
        <v>0</v>
      </c>
      <c r="S123">
        <f t="shared" si="13"/>
        <v>137000</v>
      </c>
      <c r="T123">
        <f t="shared" si="15"/>
        <v>0</v>
      </c>
      <c r="U123">
        <f t="shared" si="14"/>
        <v>0</v>
      </c>
      <c r="V123">
        <f t="shared" si="16"/>
        <v>0</v>
      </c>
      <c r="W123">
        <f t="shared" si="17"/>
        <v>0</v>
      </c>
    </row>
  </sheetData>
  <conditionalFormatting sqref="Q1:Q1048576">
    <cfRule type="containsText" dxfId="8" priority="1" operator="containsText" text="ниже минимума">
      <formula>NOT(ISERROR(SEARCH("ниже минимума",Q1)))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8A09-FE70-304B-AB6A-C01ECBFE1244}">
  <dimension ref="A1:P65"/>
  <sheetViews>
    <sheetView zoomScale="92" workbookViewId="0">
      <selection activeCell="F10" sqref="F10"/>
    </sheetView>
  </sheetViews>
  <sheetFormatPr baseColWidth="10" defaultRowHeight="16" x14ac:dyDescent="0.2"/>
  <cols>
    <col min="1" max="1" width="46" customWidth="1"/>
    <col min="2" max="2" width="20.1640625" bestFit="1" customWidth="1"/>
    <col min="3" max="3" width="13" customWidth="1"/>
    <col min="4" max="4" width="15.1640625" customWidth="1"/>
    <col min="6" max="6" width="19.83203125" bestFit="1" customWidth="1"/>
    <col min="7" max="7" width="20.1640625" bestFit="1" customWidth="1"/>
    <col min="8" max="9" width="12.1640625" bestFit="1" customWidth="1"/>
    <col min="11" max="11" width="20.5" customWidth="1"/>
  </cols>
  <sheetData>
    <row r="1" spans="1:16" x14ac:dyDescent="0.2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159</v>
      </c>
      <c r="F1" s="5"/>
      <c r="G1" s="11"/>
      <c r="H1" s="11"/>
      <c r="I1" s="11"/>
      <c r="J1" s="12"/>
      <c r="K1" s="11"/>
      <c r="L1" s="11"/>
      <c r="M1" s="11"/>
      <c r="N1" s="11"/>
      <c r="O1" s="11"/>
      <c r="P1" s="12"/>
    </row>
    <row r="2" spans="1:16" x14ac:dyDescent="0.2">
      <c r="A2" s="3" t="s">
        <v>17</v>
      </c>
      <c r="B2" s="3">
        <v>130000</v>
      </c>
      <c r="C2" s="3">
        <f>SUMIFS(Анализ!W:W, Анализ!G:G, A2)</f>
        <v>107700</v>
      </c>
      <c r="D2" s="3">
        <f>MIN(C2,B2)</f>
        <v>107700</v>
      </c>
      <c r="E2" s="3">
        <f>B2-D2</f>
        <v>22300</v>
      </c>
      <c r="F2" s="6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">
      <c r="A3" s="3" t="s">
        <v>45</v>
      </c>
      <c r="B3" s="3">
        <v>210000</v>
      </c>
      <c r="C3" s="3">
        <f>SUMIFS(Анализ!W:W, Анализ!G:G, A3)</f>
        <v>122900</v>
      </c>
      <c r="D3" s="3">
        <f t="shared" ref="D3:D8" si="0">MIN(C3,B3)</f>
        <v>122900</v>
      </c>
      <c r="E3" s="3">
        <f t="shared" ref="E3:E8" si="1">B3-D3</f>
        <v>87100</v>
      </c>
      <c r="F3" s="6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">
      <c r="A4" s="3" t="s">
        <v>61</v>
      </c>
      <c r="B4" s="3">
        <v>100000</v>
      </c>
      <c r="C4" s="3">
        <f>SUMIFS(Анализ!W:W, Анализ!G:G, A4)</f>
        <v>133400</v>
      </c>
      <c r="D4" s="3">
        <f t="shared" si="0"/>
        <v>100000</v>
      </c>
      <c r="E4" s="3">
        <f t="shared" si="1"/>
        <v>0</v>
      </c>
      <c r="F4" s="6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">
      <c r="A5" s="3" t="s">
        <v>80</v>
      </c>
      <c r="B5" s="3">
        <v>120000</v>
      </c>
      <c r="C5" s="3">
        <f>SUMIFS(Анализ!W:W, Анализ!G:G, A5)</f>
        <v>61200</v>
      </c>
      <c r="D5" s="10">
        <v>61200</v>
      </c>
      <c r="E5" s="3">
        <f t="shared" si="1"/>
        <v>58800</v>
      </c>
      <c r="F5" s="6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">
      <c r="A6" s="3" t="s">
        <v>97</v>
      </c>
      <c r="B6" s="3">
        <v>220000</v>
      </c>
      <c r="C6" s="3">
        <f>SUMIFS(Анализ!W:W, Анализ!G:G, A6)</f>
        <v>117600</v>
      </c>
      <c r="D6" s="3">
        <f t="shared" si="0"/>
        <v>117600</v>
      </c>
      <c r="E6" s="3">
        <f t="shared" si="1"/>
        <v>102400</v>
      </c>
      <c r="F6" s="6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x14ac:dyDescent="0.2">
      <c r="A7" s="3" t="s">
        <v>107</v>
      </c>
      <c r="B7" s="3">
        <v>80000</v>
      </c>
      <c r="C7" s="3">
        <f>SUMIFS(Анализ!W:W, Анализ!G:G, A7)</f>
        <v>47750</v>
      </c>
      <c r="D7" s="3">
        <f t="shared" si="0"/>
        <v>47750</v>
      </c>
      <c r="E7" s="3">
        <f t="shared" si="1"/>
        <v>32250</v>
      </c>
      <c r="F7" s="6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">
      <c r="A8" s="3" t="s">
        <v>123</v>
      </c>
      <c r="B8" s="3">
        <v>100000</v>
      </c>
      <c r="C8" s="3">
        <f>SUMIFS(Анализ!W:W, Анализ!G:G, A8)</f>
        <v>42600</v>
      </c>
      <c r="D8" s="3">
        <f t="shared" si="0"/>
        <v>42600</v>
      </c>
      <c r="E8" s="3">
        <f t="shared" si="1"/>
        <v>57400</v>
      </c>
      <c r="F8" s="6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">
      <c r="A9" s="2" t="s">
        <v>167</v>
      </c>
      <c r="B9" s="2">
        <f>SUM(B2:B8)</f>
        <v>960000</v>
      </c>
      <c r="C9" s="2">
        <f>SUM(C2:C8)</f>
        <v>633150</v>
      </c>
      <c r="D9" s="2">
        <f>SUM(D2:D8)</f>
        <v>599750</v>
      </c>
      <c r="E9" s="2">
        <f>SUM(E2:E8)</f>
        <v>360250</v>
      </c>
      <c r="F9" s="6"/>
      <c r="G9" s="11"/>
      <c r="H9" s="11"/>
      <c r="I9" s="11"/>
      <c r="J9" s="12"/>
      <c r="K9" s="11"/>
      <c r="L9" s="11"/>
      <c r="M9" s="11"/>
      <c r="N9" s="11"/>
      <c r="O9" s="11"/>
      <c r="P9" s="12"/>
    </row>
    <row r="10" spans="1:16" x14ac:dyDescent="0.2">
      <c r="D10" s="6"/>
      <c r="E10" s="6"/>
      <c r="F10" s="6"/>
      <c r="G10" s="13"/>
      <c r="H10" s="13"/>
      <c r="I10" s="12"/>
      <c r="J10" s="12"/>
      <c r="K10" s="12"/>
      <c r="L10" s="12"/>
      <c r="M10" s="12"/>
      <c r="N10" s="12"/>
      <c r="O10" s="12"/>
      <c r="P10" s="12"/>
    </row>
    <row r="11" spans="1:16" x14ac:dyDescent="0.2">
      <c r="A11" s="5" t="s">
        <v>168</v>
      </c>
      <c r="G11" s="12"/>
      <c r="H11" s="12"/>
      <c r="I11" s="12"/>
      <c r="J11" s="12"/>
      <c r="K11" s="12"/>
      <c r="L11" s="12"/>
      <c r="M11" s="12"/>
      <c r="N11" s="12"/>
      <c r="O11" s="12"/>
    </row>
    <row r="12" spans="1:16" ht="17" x14ac:dyDescent="0.2">
      <c r="A12" s="8" t="s">
        <v>169</v>
      </c>
      <c r="B12" s="7" t="s">
        <v>170</v>
      </c>
      <c r="C12" s="5" t="s">
        <v>171</v>
      </c>
      <c r="D12" s="5" t="s">
        <v>172</v>
      </c>
      <c r="E12" s="5" t="s">
        <v>173</v>
      </c>
      <c r="G12" s="14"/>
      <c r="H12" s="11"/>
      <c r="I12" s="11"/>
      <c r="J12" s="11"/>
      <c r="K12" s="11"/>
      <c r="L12" s="12"/>
      <c r="M12" s="12"/>
      <c r="N12" s="12"/>
      <c r="O12" s="12"/>
    </row>
    <row r="13" spans="1:16" x14ac:dyDescent="0.2">
      <c r="A13" t="s">
        <v>134</v>
      </c>
      <c r="B13" s="9" t="s">
        <v>174</v>
      </c>
      <c r="C13" s="4">
        <v>27000</v>
      </c>
      <c r="D13" s="4">
        <v>27000</v>
      </c>
      <c r="E13" t="s">
        <v>176</v>
      </c>
      <c r="G13" s="12"/>
      <c r="H13" s="15"/>
      <c r="I13" s="15"/>
      <c r="J13" s="12"/>
      <c r="K13" s="12"/>
      <c r="L13" s="12"/>
      <c r="M13" s="12"/>
      <c r="N13" s="12"/>
      <c r="O13" s="12"/>
    </row>
    <row r="14" spans="1:16" x14ac:dyDescent="0.2">
      <c r="A14" t="s">
        <v>67</v>
      </c>
      <c r="B14" s="9" t="s">
        <v>175</v>
      </c>
      <c r="C14" s="4">
        <v>24000</v>
      </c>
      <c r="D14" s="4">
        <v>24000</v>
      </c>
      <c r="E14" t="s">
        <v>176</v>
      </c>
      <c r="G14" s="12"/>
      <c r="H14" s="15"/>
      <c r="I14" s="15"/>
      <c r="J14" s="12"/>
      <c r="K14" s="12"/>
      <c r="L14" s="12"/>
      <c r="M14" s="12"/>
      <c r="N14" s="12"/>
      <c r="O14" s="12"/>
    </row>
    <row r="15" spans="1:16" x14ac:dyDescent="0.2">
      <c r="A15" t="s">
        <v>64</v>
      </c>
      <c r="B15" s="9" t="s">
        <v>175</v>
      </c>
      <c r="C15" s="4">
        <v>22000</v>
      </c>
      <c r="D15" s="4">
        <v>22000</v>
      </c>
      <c r="E15" t="s">
        <v>176</v>
      </c>
      <c r="G15" s="12"/>
      <c r="H15" s="15"/>
      <c r="I15" s="15"/>
      <c r="J15" s="12"/>
      <c r="K15" s="12"/>
      <c r="L15" s="12"/>
      <c r="M15" s="12"/>
      <c r="N15" s="12"/>
      <c r="O15" s="12"/>
    </row>
    <row r="16" spans="1:16" x14ac:dyDescent="0.2">
      <c r="A16" t="s">
        <v>70</v>
      </c>
      <c r="B16" s="9" t="s">
        <v>175</v>
      </c>
      <c r="C16" s="4">
        <v>16000</v>
      </c>
      <c r="D16" s="4">
        <v>16000</v>
      </c>
      <c r="E16" t="s">
        <v>176</v>
      </c>
      <c r="G16" s="12"/>
      <c r="H16" s="15"/>
      <c r="I16" s="15"/>
      <c r="J16" s="12"/>
      <c r="K16" s="12"/>
      <c r="L16" s="12"/>
      <c r="M16" s="12"/>
      <c r="N16" s="12"/>
      <c r="O16" s="12"/>
    </row>
    <row r="17" spans="1:15" x14ac:dyDescent="0.2">
      <c r="A17" t="s">
        <v>75</v>
      </c>
      <c r="B17" s="9" t="s">
        <v>175</v>
      </c>
      <c r="C17" s="4">
        <v>12000</v>
      </c>
      <c r="D17" s="4">
        <v>11000</v>
      </c>
      <c r="E17" t="s">
        <v>177</v>
      </c>
      <c r="G17" s="12"/>
      <c r="H17" s="15"/>
      <c r="I17" s="15"/>
      <c r="J17" s="12"/>
      <c r="K17" s="12"/>
      <c r="L17" s="12"/>
      <c r="M17" s="12"/>
      <c r="N17" s="12"/>
      <c r="O17" s="12"/>
    </row>
    <row r="18" spans="1:15" x14ac:dyDescent="0.2">
      <c r="A18" t="s">
        <v>60</v>
      </c>
      <c r="B18" s="4" t="s">
        <v>175</v>
      </c>
      <c r="C18" s="4">
        <v>8000</v>
      </c>
      <c r="D18" s="4">
        <v>0</v>
      </c>
      <c r="E18" s="4" t="s">
        <v>178</v>
      </c>
      <c r="F18" s="5"/>
      <c r="G18" s="12"/>
      <c r="H18" s="15"/>
      <c r="I18" s="15"/>
      <c r="J18" s="15"/>
      <c r="K18" s="15"/>
      <c r="L18" s="12"/>
      <c r="M18" s="12"/>
      <c r="N18" s="12"/>
      <c r="O18" s="12"/>
    </row>
    <row r="19" spans="1:15" x14ac:dyDescent="0.2">
      <c r="A19" t="s">
        <v>71</v>
      </c>
      <c r="B19" s="4" t="s">
        <v>175</v>
      </c>
      <c r="C19" s="4">
        <v>7200</v>
      </c>
      <c r="D19" s="9">
        <v>0</v>
      </c>
      <c r="E19" s="4" t="s">
        <v>178</v>
      </c>
      <c r="F19" s="6"/>
      <c r="G19" s="12"/>
      <c r="H19" s="15"/>
      <c r="I19" s="16"/>
      <c r="J19" s="15"/>
      <c r="K19" s="15"/>
      <c r="L19" s="12"/>
      <c r="M19" s="12"/>
      <c r="N19" s="12"/>
      <c r="O19" s="12"/>
    </row>
    <row r="20" spans="1:15" x14ac:dyDescent="0.2">
      <c r="A20" t="s">
        <v>74</v>
      </c>
      <c r="B20" s="4" t="s">
        <v>175</v>
      </c>
      <c r="C20" s="4">
        <v>7200</v>
      </c>
      <c r="D20" s="9">
        <v>0</v>
      </c>
      <c r="E20" s="4" t="s">
        <v>178</v>
      </c>
      <c r="F20" s="6"/>
      <c r="G20" s="12"/>
      <c r="H20" s="15"/>
      <c r="I20" s="16"/>
      <c r="J20" s="15"/>
      <c r="K20" s="15"/>
      <c r="L20" s="12"/>
      <c r="M20" s="12"/>
      <c r="N20" s="12"/>
      <c r="O20" s="12"/>
    </row>
    <row r="21" spans="1:15" x14ac:dyDescent="0.2">
      <c r="A21" t="s">
        <v>72</v>
      </c>
      <c r="B21" s="4" t="s">
        <v>175</v>
      </c>
      <c r="C21" s="4">
        <v>7000</v>
      </c>
      <c r="D21" s="9">
        <v>0</v>
      </c>
      <c r="E21" s="4" t="s">
        <v>178</v>
      </c>
      <c r="F21" s="6"/>
      <c r="G21" s="12"/>
      <c r="H21" s="15"/>
      <c r="I21" s="16"/>
      <c r="J21" s="15"/>
      <c r="K21" s="15"/>
      <c r="L21" s="12"/>
      <c r="M21" s="12"/>
      <c r="N21" s="12"/>
      <c r="O21" s="12"/>
    </row>
    <row r="22" spans="1:15" x14ac:dyDescent="0.2">
      <c r="A22" t="s">
        <v>62</v>
      </c>
      <c r="B22" t="s">
        <v>175</v>
      </c>
      <c r="C22" s="4">
        <v>3000</v>
      </c>
      <c r="D22" s="9">
        <v>0</v>
      </c>
      <c r="E22" s="4" t="s">
        <v>178</v>
      </c>
      <c r="F22" s="6"/>
      <c r="G22" s="12"/>
      <c r="H22" s="15"/>
      <c r="I22" s="16"/>
      <c r="J22" s="15"/>
      <c r="K22" s="15"/>
      <c r="L22" s="12"/>
      <c r="M22" s="12"/>
      <c r="N22" s="12"/>
      <c r="O22" s="12"/>
    </row>
    <row r="23" spans="1:15" x14ac:dyDescent="0.2">
      <c r="D23">
        <f>SUM(D13:D22)</f>
        <v>100000</v>
      </c>
      <c r="E23" s="6"/>
      <c r="F23" s="6"/>
      <c r="G23" s="13"/>
      <c r="H23" s="13"/>
      <c r="I23" s="12"/>
      <c r="J23" s="12"/>
      <c r="K23" s="12"/>
      <c r="L23" s="12"/>
      <c r="M23" s="12"/>
      <c r="N23" s="12"/>
      <c r="O23" s="12"/>
    </row>
    <row r="24" spans="1:15" x14ac:dyDescent="0.2">
      <c r="D24" s="6"/>
      <c r="E24" s="6"/>
      <c r="F24" s="6"/>
      <c r="G24" s="13"/>
      <c r="H24" s="13"/>
      <c r="I24" s="12"/>
      <c r="J24" s="12"/>
      <c r="K24" s="12"/>
      <c r="L24" s="12"/>
      <c r="M24" s="12"/>
      <c r="N24" s="12"/>
      <c r="O24" s="12"/>
    </row>
    <row r="25" spans="1:15" x14ac:dyDescent="0.2">
      <c r="A25" t="s">
        <v>180</v>
      </c>
      <c r="D25" s="6"/>
      <c r="E25" s="6"/>
      <c r="F25" s="6"/>
      <c r="G25" s="13"/>
      <c r="H25" s="13"/>
      <c r="I25" s="12"/>
      <c r="J25" s="12"/>
      <c r="K25" s="12"/>
      <c r="L25" s="12"/>
      <c r="M25" s="12"/>
      <c r="N25" s="12"/>
      <c r="O25" s="12"/>
    </row>
    <row r="26" spans="1:15" x14ac:dyDescent="0.2">
      <c r="D26" s="6"/>
      <c r="E26" s="6"/>
      <c r="F26" s="6"/>
      <c r="G26" s="13"/>
      <c r="H26" s="13"/>
      <c r="I26" s="12"/>
      <c r="J26" s="12"/>
      <c r="K26" s="12"/>
      <c r="L26" s="12"/>
      <c r="M26" s="12"/>
      <c r="N26" s="12"/>
      <c r="O26" s="12"/>
    </row>
    <row r="27" spans="1:15" x14ac:dyDescent="0.2">
      <c r="D27" s="6"/>
      <c r="E27" s="6"/>
      <c r="F27" s="6"/>
      <c r="G27" s="13"/>
      <c r="H27" s="13"/>
      <c r="I27" s="12"/>
      <c r="J27" s="12"/>
      <c r="K27" s="12"/>
      <c r="L27" s="12"/>
      <c r="M27" s="12"/>
      <c r="N27" s="12"/>
      <c r="O27" s="12"/>
    </row>
    <row r="28" spans="1:15" x14ac:dyDescent="0.2">
      <c r="D28" s="6"/>
      <c r="E28" s="6"/>
      <c r="F28" s="6"/>
      <c r="G28" s="6"/>
      <c r="H28" s="6"/>
    </row>
    <row r="29" spans="1:15" x14ac:dyDescent="0.2">
      <c r="D29" s="6"/>
      <c r="E29" s="6"/>
      <c r="F29" s="6"/>
      <c r="G29" s="6"/>
      <c r="H29" s="6"/>
    </row>
    <row r="30" spans="1:15" x14ac:dyDescent="0.2">
      <c r="D30" s="6"/>
      <c r="E30" s="6"/>
      <c r="F30" s="6"/>
      <c r="G30" s="6"/>
      <c r="H30" s="6"/>
    </row>
    <row r="31" spans="1:15" x14ac:dyDescent="0.2">
      <c r="D31" s="6"/>
      <c r="E31" s="6"/>
      <c r="F31" s="6"/>
      <c r="G31" s="6"/>
      <c r="H31" s="6"/>
    </row>
    <row r="32" spans="1:15" x14ac:dyDescent="0.2">
      <c r="D32" s="6"/>
      <c r="E32" s="6"/>
      <c r="F32" s="6"/>
      <c r="G32" s="6"/>
      <c r="H32" s="6"/>
    </row>
    <row r="33" spans="4:8" x14ac:dyDescent="0.2">
      <c r="D33" s="6"/>
      <c r="E33" s="6"/>
      <c r="F33" s="6"/>
      <c r="G33" s="6"/>
      <c r="H33" s="6"/>
    </row>
    <row r="34" spans="4:8" x14ac:dyDescent="0.2">
      <c r="D34" s="6"/>
      <c r="E34" s="6"/>
      <c r="F34" s="6"/>
      <c r="G34" s="6"/>
      <c r="H34" s="6"/>
    </row>
    <row r="35" spans="4:8" x14ac:dyDescent="0.2">
      <c r="D35" s="6"/>
      <c r="E35" s="6"/>
      <c r="F35" s="6"/>
      <c r="G35" s="6"/>
      <c r="H35" s="6"/>
    </row>
    <row r="36" spans="4:8" x14ac:dyDescent="0.2">
      <c r="D36" s="6"/>
      <c r="E36" s="6"/>
      <c r="F36" s="6"/>
      <c r="G36" s="6"/>
      <c r="H36" s="6"/>
    </row>
    <row r="37" spans="4:8" x14ac:dyDescent="0.2">
      <c r="D37" s="6"/>
      <c r="E37" s="6"/>
      <c r="F37" s="6"/>
      <c r="G37" s="6"/>
      <c r="H37" s="6"/>
    </row>
    <row r="38" spans="4:8" x14ac:dyDescent="0.2">
      <c r="D38" s="6"/>
      <c r="E38" s="6"/>
      <c r="F38" s="6"/>
      <c r="G38" s="6"/>
      <c r="H38" s="6"/>
    </row>
    <row r="39" spans="4:8" x14ac:dyDescent="0.2">
      <c r="D39" s="6"/>
      <c r="E39" s="6"/>
      <c r="F39" s="6"/>
      <c r="G39" s="6"/>
      <c r="H39" s="6"/>
    </row>
    <row r="40" spans="4:8" x14ac:dyDescent="0.2">
      <c r="D40" s="6"/>
      <c r="E40" s="6"/>
      <c r="F40" s="6"/>
      <c r="G40" s="6"/>
      <c r="H40" s="6"/>
    </row>
    <row r="41" spans="4:8" x14ac:dyDescent="0.2">
      <c r="D41" s="6"/>
      <c r="E41" s="6"/>
      <c r="F41" s="6"/>
      <c r="G41" s="6"/>
      <c r="H41" s="6"/>
    </row>
    <row r="42" spans="4:8" x14ac:dyDescent="0.2">
      <c r="D42" s="6"/>
      <c r="E42" s="6"/>
      <c r="F42" s="6"/>
      <c r="G42" s="6"/>
      <c r="H42" s="6"/>
    </row>
    <row r="43" spans="4:8" x14ac:dyDescent="0.2">
      <c r="D43" s="6"/>
      <c r="E43" s="6"/>
      <c r="F43" s="6"/>
      <c r="G43" s="6"/>
      <c r="H43" s="6"/>
    </row>
    <row r="44" spans="4:8" x14ac:dyDescent="0.2">
      <c r="D44" s="6"/>
      <c r="E44" s="6"/>
      <c r="F44" s="6"/>
      <c r="G44" s="6"/>
      <c r="H44" s="6"/>
    </row>
    <row r="45" spans="4:8" x14ac:dyDescent="0.2">
      <c r="D45" s="6"/>
      <c r="E45" s="6"/>
      <c r="F45" s="6"/>
      <c r="G45" s="6"/>
      <c r="H45" s="6"/>
    </row>
    <row r="46" spans="4:8" x14ac:dyDescent="0.2">
      <c r="D46" s="6"/>
      <c r="E46" s="6"/>
      <c r="F46" s="6"/>
      <c r="G46" s="6"/>
      <c r="H46" s="6"/>
    </row>
    <row r="47" spans="4:8" x14ac:dyDescent="0.2">
      <c r="D47" s="6"/>
      <c r="E47" s="6"/>
      <c r="F47" s="6"/>
      <c r="G47" s="6"/>
      <c r="H47" s="6"/>
    </row>
    <row r="48" spans="4:8" x14ac:dyDescent="0.2">
      <c r="D48" s="6"/>
      <c r="E48" s="6"/>
      <c r="F48" s="6"/>
      <c r="G48" s="6"/>
      <c r="H48" s="6"/>
    </row>
    <row r="49" spans="4:8" x14ac:dyDescent="0.2">
      <c r="D49" s="6"/>
      <c r="E49" s="6"/>
      <c r="F49" s="6"/>
      <c r="G49" s="6"/>
      <c r="H49" s="6"/>
    </row>
    <row r="50" spans="4:8" x14ac:dyDescent="0.2">
      <c r="D50" s="6"/>
      <c r="E50" s="6"/>
      <c r="F50" s="6"/>
      <c r="G50" s="6"/>
      <c r="H50" s="6"/>
    </row>
    <row r="51" spans="4:8" x14ac:dyDescent="0.2">
      <c r="D51" s="6"/>
      <c r="E51" s="6"/>
      <c r="F51" s="6"/>
      <c r="G51" s="6"/>
      <c r="H51" s="6"/>
    </row>
    <row r="52" spans="4:8" x14ac:dyDescent="0.2">
      <c r="D52" s="6"/>
      <c r="E52" s="6"/>
      <c r="F52" s="6"/>
      <c r="G52" s="6"/>
      <c r="H52" s="6"/>
    </row>
    <row r="53" spans="4:8" x14ac:dyDescent="0.2">
      <c r="D53" s="6"/>
      <c r="E53" s="6"/>
      <c r="F53" s="6"/>
      <c r="G53" s="6"/>
      <c r="H53" s="6"/>
    </row>
    <row r="54" spans="4:8" x14ac:dyDescent="0.2">
      <c r="D54" s="6"/>
      <c r="E54" s="6"/>
      <c r="F54" s="6"/>
      <c r="G54" s="6"/>
      <c r="H54" s="6"/>
    </row>
    <row r="55" spans="4:8" x14ac:dyDescent="0.2">
      <c r="D55" s="6"/>
      <c r="E55" s="6"/>
      <c r="F55" s="6"/>
      <c r="G55" s="6"/>
      <c r="H55" s="6"/>
    </row>
    <row r="56" spans="4:8" x14ac:dyDescent="0.2">
      <c r="D56" s="6"/>
      <c r="E56" s="6"/>
      <c r="F56" s="6"/>
      <c r="G56" s="6"/>
      <c r="H56" s="6"/>
    </row>
    <row r="57" spans="4:8" x14ac:dyDescent="0.2">
      <c r="D57" s="6"/>
      <c r="E57" s="6"/>
      <c r="F57" s="6"/>
      <c r="G57" s="6"/>
      <c r="H57" s="6"/>
    </row>
    <row r="58" spans="4:8" x14ac:dyDescent="0.2">
      <c r="D58" s="6"/>
      <c r="E58" s="6"/>
      <c r="F58" s="6"/>
      <c r="G58" s="6"/>
      <c r="H58" s="6"/>
    </row>
    <row r="59" spans="4:8" x14ac:dyDescent="0.2">
      <c r="D59" s="6"/>
      <c r="E59" s="6"/>
      <c r="F59" s="6"/>
      <c r="G59" s="6"/>
      <c r="H59" s="6"/>
    </row>
    <row r="60" spans="4:8" x14ac:dyDescent="0.2">
      <c r="D60" s="6"/>
      <c r="E60" s="6"/>
      <c r="F60" s="6"/>
      <c r="G60" s="6"/>
      <c r="H60" s="6"/>
    </row>
    <row r="61" spans="4:8" x14ac:dyDescent="0.2">
      <c r="D61" s="6"/>
      <c r="E61" s="6"/>
      <c r="F61" s="6"/>
      <c r="G61" s="6"/>
      <c r="H61" s="6"/>
    </row>
    <row r="62" spans="4:8" x14ac:dyDescent="0.2">
      <c r="D62" s="6"/>
      <c r="E62" s="6"/>
      <c r="F62" s="6"/>
      <c r="G62" s="6"/>
      <c r="H62" s="6"/>
    </row>
    <row r="63" spans="4:8" x14ac:dyDescent="0.2">
      <c r="D63" s="6"/>
      <c r="E63" s="6"/>
      <c r="F63" s="6"/>
      <c r="G63" s="6"/>
      <c r="H63" s="6"/>
    </row>
    <row r="64" spans="4:8" x14ac:dyDescent="0.2">
      <c r="D64" s="6"/>
      <c r="E64" s="6"/>
      <c r="F64" s="6"/>
      <c r="G64" s="6"/>
      <c r="H64" s="6"/>
    </row>
    <row r="65" spans="4:8" x14ac:dyDescent="0.2">
      <c r="D65" s="6"/>
      <c r="E65" s="6"/>
      <c r="F65" s="6"/>
      <c r="G65" s="6"/>
      <c r="H65" s="6"/>
    </row>
  </sheetData>
  <conditionalFormatting sqref="A12:E22 A25">
    <cfRule type="containsText" dxfId="7" priority="5" operator="containsText" text="Перенос">
      <formula>NOT(ISERROR(SEARCH("Перенос",A12)))</formula>
    </cfRule>
    <cfRule type="containsText" dxfId="6" priority="6" operator="containsText" text="Частично">
      <formula>NOT(ISERROR(SEARCH("Частично",A12)))</formula>
    </cfRule>
  </conditionalFormatting>
  <conditionalFormatting sqref="A12:E23 A25">
    <cfRule type="containsText" dxfId="5" priority="7" operator="containsText" text="Частнично">
      <formula>NOT(ISERROR(SEARCH("Частнично",A12)))</formula>
    </cfRule>
    <cfRule type="containsText" dxfId="4" priority="8" operator="containsText" text="Поднят">
      <formula>NOT(ISERROR(SEARCH("Поднят",A12)))</formula>
    </cfRule>
  </conditionalFormatting>
  <conditionalFormatting sqref="G12:K22">
    <cfRule type="containsText" dxfId="3" priority="1" operator="containsText" text="Перенос">
      <formula>NOT(ISERROR(SEARCH("Перенос",G12)))</formula>
    </cfRule>
    <cfRule type="containsText" dxfId="2" priority="2" operator="containsText" text="Частично">
      <formula>NOT(ISERROR(SEARCH("Частично",G12)))</formula>
    </cfRule>
  </conditionalFormatting>
  <conditionalFormatting sqref="G12:K22">
    <cfRule type="containsText" dxfId="1" priority="3" operator="containsText" text="Частнично">
      <formula>NOT(ISERROR(SEARCH("Частнично",G12)))</formula>
    </cfRule>
    <cfRule type="containsText" dxfId="0" priority="4" operator="containsText" text="Поднят">
      <formula>NOT(ISERROR(SEARCH("Поднят",G12)))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43C8-ACCF-004B-BA41-941B2E49A80F}">
  <dimension ref="A1:B6"/>
  <sheetViews>
    <sheetView workbookViewId="0">
      <selection activeCell="G16" sqref="G16"/>
    </sheetView>
  </sheetViews>
  <sheetFormatPr baseColWidth="10" defaultRowHeight="16" x14ac:dyDescent="0.2"/>
  <cols>
    <col min="1" max="1" width="16.1640625" customWidth="1"/>
  </cols>
  <sheetData>
    <row r="1" spans="1:2" x14ac:dyDescent="0.2">
      <c r="A1" t="s">
        <v>173</v>
      </c>
      <c r="B1" t="s">
        <v>181</v>
      </c>
    </row>
    <row r="2" spans="1:2" x14ac:dyDescent="0.2">
      <c r="A2" t="s">
        <v>182</v>
      </c>
      <c r="B2">
        <v>9</v>
      </c>
    </row>
    <row r="3" spans="1:2" x14ac:dyDescent="0.2">
      <c r="A3" t="s">
        <v>183</v>
      </c>
      <c r="B3">
        <v>47</v>
      </c>
    </row>
    <row r="4" spans="1:2" x14ac:dyDescent="0.2">
      <c r="A4" t="s">
        <v>184</v>
      </c>
      <c r="B4">
        <v>54</v>
      </c>
    </row>
    <row r="5" spans="1:2" x14ac:dyDescent="0.2">
      <c r="A5" t="s">
        <v>185</v>
      </c>
      <c r="B5">
        <v>4</v>
      </c>
    </row>
    <row r="6" spans="1:2" x14ac:dyDescent="0.2">
      <c r="A6" t="s">
        <v>186</v>
      </c>
      <c r="B6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12252-4AFB-184F-B8BA-2D42E47B5C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hr_last</vt:lpstr>
      <vt:lpstr>salary_bands</vt:lpstr>
      <vt:lpstr>Анализ</vt:lpstr>
      <vt:lpstr>Бюджет</vt:lpstr>
      <vt:lpstr>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Сазыкина</dc:creator>
  <cp:lastModifiedBy>Мария Сазыкина</cp:lastModifiedBy>
  <dcterms:created xsi:type="dcterms:W3CDTF">2026-08-21T11:25:34Z</dcterms:created>
  <dcterms:modified xsi:type="dcterms:W3CDTF">2026-09-19T17:37:28Z</dcterms:modified>
</cp:coreProperties>
</file>