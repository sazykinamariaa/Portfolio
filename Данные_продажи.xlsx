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riasazykina/Downloads/"/>
    </mc:Choice>
  </mc:AlternateContent>
  <xr:revisionPtr revIDLastSave="0" documentId="13_ncr:1_{9A1F00AE-F59E-B04D-9465-B9F375BE847A}" xr6:coauthVersionLast="47" xr6:coauthVersionMax="47" xr10:uidLastSave="{00000000-0000-0000-0000-000000000000}"/>
  <bookViews>
    <workbookView xWindow="0" yWindow="740" windowWidth="29400" windowHeight="16680" activeTab="4" xr2:uid="{00000000-000D-0000-FFFF-FFFF00000000}"/>
  </bookViews>
  <sheets>
    <sheet name="Анализ_отделы" sheetId="2" r:id="rId1"/>
    <sheet name="Анализ_товары" sheetId="3" r:id="rId2"/>
    <sheet name="Анализ_динамика" sheetId="4" r:id="rId3"/>
    <sheet name="Рейтинг_менеджеров" sheetId="5" r:id="rId4"/>
    <sheet name="Справка" sheetId="6" r:id="rId5"/>
    <sheet name="Данные" sheetId="1" r:id="rId6"/>
  </sheets>
  <definedNames>
    <definedName name="_xlnm._FilterDatabase" localSheetId="5" hidden="1">Данные!$A$1:$K$99</definedName>
    <definedName name="_xlnm.Print_Titles" localSheetId="0">Анализ_отделы!$A:$A,Анализ_отделы!$3:$3</definedName>
  </definedNames>
  <calcPr calcId="191029"/>
  <pivotCaches>
    <pivotCache cacheId="6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6" l="1"/>
  <c r="E37" i="6"/>
  <c r="D37" i="6"/>
  <c r="C37" i="6"/>
  <c r="B37" i="6"/>
  <c r="B36" i="6"/>
  <c r="A37" i="6"/>
  <c r="E36" i="6"/>
  <c r="C36" i="6"/>
  <c r="A36" i="6"/>
  <c r="B32" i="6"/>
  <c r="B21" i="6"/>
  <c r="B22" i="6"/>
  <c r="B23" i="6"/>
  <c r="B24" i="6"/>
  <c r="B25" i="6"/>
  <c r="B26" i="6"/>
  <c r="B27" i="6"/>
  <c r="B28" i="6"/>
  <c r="B29" i="6"/>
  <c r="B30" i="6"/>
  <c r="B31" i="6"/>
  <c r="B20" i="6"/>
  <c r="A30" i="6"/>
  <c r="A31" i="6"/>
  <c r="A21" i="6"/>
  <c r="A22" i="6"/>
  <c r="A23" i="6"/>
  <c r="A24" i="6"/>
  <c r="A25" i="6"/>
  <c r="A26" i="6"/>
  <c r="A27" i="6"/>
  <c r="A28" i="6"/>
  <c r="A29" i="6"/>
  <c r="A20" i="6"/>
  <c r="E16" i="6"/>
  <c r="D16" i="6"/>
  <c r="B16" i="6"/>
  <c r="E13" i="6"/>
  <c r="E14" i="6"/>
  <c r="E15" i="6"/>
  <c r="E12" i="6"/>
  <c r="D13" i="6"/>
  <c r="D14" i="6"/>
  <c r="D15" i="6"/>
  <c r="D12" i="6"/>
  <c r="C13" i="6"/>
  <c r="C14" i="6"/>
  <c r="C15" i="6"/>
  <c r="C12" i="6"/>
  <c r="B13" i="6"/>
  <c r="B14" i="6"/>
  <c r="B15" i="6"/>
  <c r="B12" i="6"/>
  <c r="A13" i="6"/>
  <c r="A14" i="6"/>
  <c r="A15" i="6"/>
  <c r="A12" i="6"/>
  <c r="B8" i="6"/>
  <c r="B5" i="6"/>
  <c r="B7" i="6"/>
  <c r="B6" i="6"/>
  <c r="I6" i="5"/>
  <c r="E3" i="5"/>
  <c r="E4" i="5"/>
  <c r="E5" i="5"/>
  <c r="E6" i="5"/>
  <c r="E7" i="5"/>
  <c r="I7" i="5" s="1"/>
  <c r="E8" i="5"/>
  <c r="I8" i="5" s="1"/>
  <c r="E9" i="5"/>
  <c r="I9" i="5" s="1"/>
  <c r="E10" i="5"/>
  <c r="I10" i="5" s="1"/>
  <c r="E11" i="5"/>
  <c r="E12" i="5"/>
  <c r="E13" i="5"/>
  <c r="E14" i="5"/>
  <c r="I14" i="5" s="1"/>
  <c r="E15" i="5"/>
  <c r="I15" i="5" s="1"/>
  <c r="E16" i="5"/>
  <c r="I16" i="5" s="1"/>
  <c r="I3" i="5"/>
  <c r="I4" i="5"/>
  <c r="I5" i="5"/>
  <c r="I11" i="5"/>
  <c r="I12" i="5"/>
  <c r="I13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2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2" i="5"/>
  <c r="A2" i="5" a="1"/>
  <c r="A2" i="5" s="1"/>
  <c r="D5" i="3"/>
  <c r="D6" i="3"/>
  <c r="D7" i="3"/>
  <c r="D8" i="3"/>
  <c r="D9" i="3"/>
  <c r="D10" i="3"/>
  <c r="D4" i="3"/>
  <c r="C5" i="3"/>
  <c r="C6" i="3"/>
  <c r="C7" i="3"/>
  <c r="C8" i="3"/>
  <c r="C9" i="3"/>
  <c r="C10" i="3"/>
  <c r="C4" i="3"/>
  <c r="D5" i="2"/>
  <c r="D6" i="2"/>
  <c r="D7" i="2"/>
  <c r="D8" i="2"/>
  <c r="D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<sst xmlns="http://schemas.openxmlformats.org/spreadsheetml/2006/main" count="677" uniqueCount="97">
  <si>
    <t>ФИО менеджера</t>
  </si>
  <si>
    <t>Отдел</t>
  </si>
  <si>
    <t>План (руб)</t>
  </si>
  <si>
    <t>Дата</t>
  </si>
  <si>
    <t>Месяц</t>
  </si>
  <si>
    <t>Квартал</t>
  </si>
  <si>
    <t>Товар</t>
  </si>
  <si>
    <t>Категория</t>
  </si>
  <si>
    <t>Кол-во</t>
  </si>
  <si>
    <t>Цена (руб)</t>
  </si>
  <si>
    <t>Сумма (руб)</t>
  </si>
  <si>
    <t>Иванов И.И.</t>
  </si>
  <si>
    <t>Отдел А</t>
  </si>
  <si>
    <t>Январь</t>
  </si>
  <si>
    <t>Q1</t>
  </si>
  <si>
    <t>Монитор</t>
  </si>
  <si>
    <t>Техника</t>
  </si>
  <si>
    <t>Морозова Е.Н.</t>
  </si>
  <si>
    <t>Отдел Б</t>
  </si>
  <si>
    <t>Попова Н.А.</t>
  </si>
  <si>
    <t>Отдел В</t>
  </si>
  <si>
    <t>Клавиатура</t>
  </si>
  <si>
    <t>Аксессуары</t>
  </si>
  <si>
    <t>Новиков А.В.</t>
  </si>
  <si>
    <t>Наушники</t>
  </si>
  <si>
    <t>Ноутбук</t>
  </si>
  <si>
    <t>Козлова М.Д.</t>
  </si>
  <si>
    <t>Отдел Г</t>
  </si>
  <si>
    <t>Мышь</t>
  </si>
  <si>
    <t>Сидоров П.А.</t>
  </si>
  <si>
    <t>Февраль</t>
  </si>
  <si>
    <t>Телефон</t>
  </si>
  <si>
    <t>Соколов А.П.</t>
  </si>
  <si>
    <t>Григорьев С.П.</t>
  </si>
  <si>
    <t>Петрова А.С.</t>
  </si>
  <si>
    <t>Федорова И.М.</t>
  </si>
  <si>
    <t>Планшет</t>
  </si>
  <si>
    <t>Март</t>
  </si>
  <si>
    <t>Орлов В.С.</t>
  </si>
  <si>
    <t>Волков Д.А.</t>
  </si>
  <si>
    <t>Лебедева О.И.</t>
  </si>
  <si>
    <t>Апрель</t>
  </si>
  <si>
    <t>Q2</t>
  </si>
  <si>
    <t>Семенова Т.В.</t>
  </si>
  <si>
    <t>Май</t>
  </si>
  <si>
    <t>Зайцев М.Ю.</t>
  </si>
  <si>
    <t>Июнь</t>
  </si>
  <si>
    <t>Июль</t>
  </si>
  <si>
    <t>Q3</t>
  </si>
  <si>
    <t>Август</t>
  </si>
  <si>
    <t>Сентябрь</t>
  </si>
  <si>
    <t>Октябрь</t>
  </si>
  <si>
    <t>Q4</t>
  </si>
  <si>
    <t>Ноябрь</t>
  </si>
  <si>
    <t>Декабрь</t>
  </si>
  <si>
    <t>Общий итог</t>
  </si>
  <si>
    <t>Выручка</t>
  </si>
  <si>
    <t>Количество сделок</t>
  </si>
  <si>
    <t>Средний чек</t>
  </si>
  <si>
    <t>Доля %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</si>
  <si>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</si>
  <si>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</si>
  <si>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</si>
  <si>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</si>
  <si>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</si>
  <si>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</si>
  <si>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</si>
  <si>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</si>
  <si>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</si>
  <si>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</si>
  <si>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</si>
  <si>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</si>
  <si>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ФИО</t>
  </si>
  <si>
    <t>Факт (руб)</t>
  </si>
  <si>
    <t>Выполнение %</t>
  </si>
  <si>
    <t>Кол-во сделок</t>
  </si>
  <si>
    <t>Место</t>
  </si>
  <si>
    <t>Статус</t>
  </si>
  <si>
    <t>Финансово-аналитическая справка - Продажи сети отделений 2024 г.</t>
  </si>
  <si>
    <t>Период: январь – декабрь 2024 г. | Источник: Данные_продажи.xlsx | Выборка: 98 сделок, 15 менеджеров, 4 отдела</t>
  </si>
  <si>
    <t>Ключевые показатели</t>
  </si>
  <si>
    <t>Общая выручка</t>
  </si>
  <si>
    <t>Среднее выполнение плана</t>
  </si>
  <si>
    <t xml:space="preserve">Структура продаж						</t>
  </si>
  <si>
    <t>Итого</t>
  </si>
  <si>
    <t>Динамика продаж</t>
  </si>
  <si>
    <t>Кадровый срез</t>
  </si>
  <si>
    <t>Факт</t>
  </si>
  <si>
    <t>Выводы</t>
  </si>
  <si>
    <t>1. Отдел Б формирует 29,4% совокупной выручки (4 040 505 руб.) при среднем чеке 149 648 руб. - максимальный вклад среди четырёх отделов.</t>
  </si>
  <si>
    <t>2. Ноутбуки и телефоны обеспечивают 69% выручки - высокая товарная концентрация создаёт риск при перебоях поставок по этим позициям.</t>
  </si>
  <si>
    <t>3. Апрель - провальный месяц: выручка 163 355 руб. против среднемесячной 1 143 619 руб. Требует отдельного анализа причин.</t>
  </si>
  <si>
    <t>4. Разрыв между лидером (Соколов А.П., 262%) и аутсайдером (Петрова А.С., 23%) составляет 11,4x - свидетельствует о неравномерном распределении нагрузки или клиентской базы.</t>
  </si>
  <si>
    <t>Рекомендации</t>
  </si>
  <si>
    <t>1. Развить ассортимент аксессуаров: их доля составляет лишь 4,6% выручки при наличии устойчивого спроса на технику. Кросс-продажи к ноутбукам и телефонам способны увеличить средний чек на 5–10%.</t>
  </si>
  <si>
    <t>2. Провести аудит апрельских продаж: выручка 163 355 руб. - минимум года, отклонение от среднемесячной в 7x. Установить причину (отпуска, отсутствие поставок, потеря клиентов) и ввести превентивные меры.</t>
  </si>
  <si>
    <t>3. Тиражировать практики Соколова А.П. (место 1, 262% плана) на менеджеров с выполнением ниже 100%: наставничество или разбор сделок в формате peer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</si>
</sst>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0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5" fontId="0" fillId="0" borderId="0" xfId="1" applyNumberFormat="1" applyFont="1"/>
    <xf numFmtId="1" fontId="0" fillId="0" borderId="0" xfId="0" applyNumberFormat="1"/>
    <xf numFmtId="0" fontId="4" fillId="0" borderId="0" xfId="0" applyFont="1"/>
    <xf numFmtId="2" fontId="0" fillId="0" borderId="0" xfId="0" applyNumberFormat="1"/>
    <xf numFmtId="0" fontId="6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6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9" fontId="0" fillId="0" borderId="0" xfId="1" applyFont="1"/>
    <xf numFmtId="0" fontId="7" fillId="6" borderId="0" xfId="0" applyFont="1" applyFill="1"/>
    <xf numFmtId="3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/>
    <xf numFmtId="0" fontId="10" fillId="0" borderId="0" xfId="0" applyFont="1"/>
    <xf numFmtId="0" fontId="0" fillId="0" borderId="0" xfId="0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[Данные_продажи.xlsx]Анализ_отделы!Сводная таблица15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Выручка по отделам 2024 г.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Анализ_отделы!$B$3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62-CF42-ABB8-32B95B78FD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462-CF42-ABB8-32B95B78FD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62-CF42-ABB8-32B95B78FD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462-CF42-ABB8-32B95B78FD53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62-CF42-ABB8-32B95B78FD53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62-CF42-ABB8-32B95B78FD53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62-CF42-ABB8-32B95B78FD53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62-CF42-ABB8-32B95B78FD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Анализ_отделы!$A$4:$A$8</c:f>
              <c:strCache>
                <c:ptCount val="4"/>
                <c:pt idx="0">
                  <c:v>Отдел А</c:v>
                </c:pt>
                <c:pt idx="1">
                  <c:v>Отдел Б</c:v>
                </c:pt>
                <c:pt idx="2">
                  <c:v>Отдел В</c:v>
                </c:pt>
                <c:pt idx="3">
                  <c:v>Отдел Г</c:v>
                </c:pt>
              </c:strCache>
            </c:strRef>
          </c:cat>
          <c:val>
            <c:numRef>
              <c:f>Анализ_отделы!$B$4:$B$8</c:f>
              <c:numCache>
                <c:formatCode>#,##0</c:formatCode>
                <c:ptCount val="4"/>
                <c:pt idx="0">
                  <c:v>2459118</c:v>
                </c:pt>
                <c:pt idx="1">
                  <c:v>4040505</c:v>
                </c:pt>
                <c:pt idx="2">
                  <c:v>3970892</c:v>
                </c:pt>
                <c:pt idx="3">
                  <c:v>3252915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2-CF42-ABB8-32B95B78FD53}"/>
            </c:ext>
          </c:extLst>
        </c:ser>
        <c:ser>
          <c:idx val="1"/>
          <c:order val="1"/>
          <c:tx>
            <c:strRef>
              <c:f>Анализ_отделы!$C$3</c:f>
              <c:strCache>
                <c:ptCount val="1"/>
                <c:pt idx="0">
                  <c:v>Количество сделок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Анализ_отделы!$A$4:$A$8</c:f>
              <c:strCache>
                <c:ptCount val="4"/>
                <c:pt idx="0">
                  <c:v>Отдел А</c:v>
                </c:pt>
                <c:pt idx="1">
                  <c:v>Отдел Б</c:v>
                </c:pt>
                <c:pt idx="2">
                  <c:v>Отдел В</c:v>
                </c:pt>
                <c:pt idx="3">
                  <c:v>Отдел Г</c:v>
                </c:pt>
              </c:strCache>
            </c:strRef>
          </c:cat>
          <c:val>
            <c:numRef>
              <c:f>Анализ_отделы!$C$4:$C$8</c:f>
              <c:numCache>
                <c:formatCode>General</c:formatCode>
                <c:ptCount val="4"/>
                <c:pt idx="0">
                  <c:v>25</c:v>
                </c:pt>
                <c:pt idx="1">
                  <c:v>27</c:v>
                </c:pt>
                <c:pt idx="2">
                  <c:v>27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2-CF42-ABB8-32B95B78F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131216"/>
        <c:axId val="1947132928"/>
      </c:barChart>
      <c:catAx>
        <c:axId val="194713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7132928"/>
        <c:crosses val="autoZero"/>
        <c:auto val="1"/>
        <c:lblAlgn val="ctr"/>
        <c:lblOffset val="100"/>
        <c:noMultiLvlLbl val="0"/>
      </c:catAx>
      <c:valAx>
        <c:axId val="19471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713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[Данные_продажи.xlsx]Анализ_товары!Сводная таблица16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Структура продаж по товарам 2024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Анализ_товары!$B$3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52-7145-A6AF-53B9B00E07B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52-7145-A6AF-53B9B00E07B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52-7145-A6AF-53B9B00E07B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52-7145-A6AF-53B9B00E07B7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52-7145-A6AF-53B9B00E07B7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52-7145-A6AF-53B9B00E07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E52-7145-A6AF-53B9B00E07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Анализ_товары!$A$4:$A$11</c:f>
              <c:strCache>
                <c:ptCount val="7"/>
                <c:pt idx="0">
                  <c:v>Клавиатура</c:v>
                </c:pt>
                <c:pt idx="1">
                  <c:v>Монитор</c:v>
                </c:pt>
                <c:pt idx="2">
                  <c:v>Мышь</c:v>
                </c:pt>
                <c:pt idx="3">
                  <c:v>Наушники</c:v>
                </c:pt>
                <c:pt idx="4">
                  <c:v>Ноутбук</c:v>
                </c:pt>
                <c:pt idx="5">
                  <c:v>Планшет</c:v>
                </c:pt>
                <c:pt idx="6">
                  <c:v>Телефон</c:v>
                </c:pt>
              </c:strCache>
            </c:strRef>
          </c:cat>
          <c:val>
            <c:numRef>
              <c:f>Анализ_товары!$B$4:$B$11</c:f>
              <c:numCache>
                <c:formatCode>#,##0</c:formatCode>
                <c:ptCount val="7"/>
                <c:pt idx="0">
                  <c:v>209211</c:v>
                </c:pt>
                <c:pt idx="1">
                  <c:v>1824543</c:v>
                </c:pt>
                <c:pt idx="2">
                  <c:v>54858</c:v>
                </c:pt>
                <c:pt idx="3">
                  <c:v>375723</c:v>
                </c:pt>
                <c:pt idx="4">
                  <c:v>5718275</c:v>
                </c:pt>
                <c:pt idx="5">
                  <c:v>1793105</c:v>
                </c:pt>
                <c:pt idx="6">
                  <c:v>3747715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9-5647-9306-A02214B5B9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[Данные_продажи.xlsx]Анализ_динамика!Сводная таблица17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Динамика выручки по месяцам 2024 г.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Анализ_динамика!$B$3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Анализ_динамика!$A$4:$A$16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Анализ_динамика!$B$4:$B$16</c:f>
              <c:numCache>
                <c:formatCode>#,##0</c:formatCode>
                <c:ptCount val="12"/>
                <c:pt idx="0">
                  <c:v>1006796</c:v>
                </c:pt>
                <c:pt idx="1">
                  <c:v>1230579</c:v>
                </c:pt>
                <c:pt idx="2">
                  <c:v>1316880</c:v>
                </c:pt>
                <c:pt idx="3">
                  <c:v>163355</c:v>
                </c:pt>
                <c:pt idx="4">
                  <c:v>1009776</c:v>
                </c:pt>
                <c:pt idx="5">
                  <c:v>1467519</c:v>
                </c:pt>
                <c:pt idx="6">
                  <c:v>748505</c:v>
                </c:pt>
                <c:pt idx="7">
                  <c:v>2718567</c:v>
                </c:pt>
                <c:pt idx="8">
                  <c:v>1478769</c:v>
                </c:pt>
                <c:pt idx="9">
                  <c:v>1011544</c:v>
                </c:pt>
                <c:pt idx="10">
                  <c:v>901740</c:v>
                </c:pt>
                <c:pt idx="11">
                  <c:v>669400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D-884C-A622-D248460A0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112223"/>
        <c:axId val="1176113935"/>
      </c:lineChart>
      <c:catAx>
        <c:axId val="117611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6113935"/>
        <c:crosses val="autoZero"/>
        <c:auto val="1"/>
        <c:lblAlgn val="ctr"/>
        <c:lblOffset val="100"/>
        <c:noMultiLvlLbl val="0"/>
      </c:catAx>
      <c:valAx>
        <c:axId val="117611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611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0</xdr:row>
      <xdr:rowOff>0</xdr:rowOff>
    </xdr:from>
    <xdr:to>
      <xdr:col>9</xdr:col>
      <xdr:colOff>12700</xdr:colOff>
      <xdr:row>13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848DA47-F52C-A6E0-4C72-01AE877BE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0</xdr:row>
      <xdr:rowOff>0</xdr:rowOff>
    </xdr:from>
    <xdr:to>
      <xdr:col>10</xdr:col>
      <xdr:colOff>76200</xdr:colOff>
      <xdr:row>14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9A349A-6104-F0B1-3D8F-FB05D753E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12</xdr:row>
      <xdr:rowOff>101600</xdr:rowOff>
    </xdr:from>
    <xdr:to>
      <xdr:col>9</xdr:col>
      <xdr:colOff>723900</xdr:colOff>
      <xdr:row>26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E1C70A-A074-231E-4075-413C796FF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рия Сазыкина" refreshedDate="46251.677991550925" createdVersion="8" refreshedVersion="8" minRefreshableVersion="3" recordCount="98" xr:uid="{0EFE22E0-83C7-1548-8345-EF9589D3E320}">
  <cacheSource type="worksheet">
    <worksheetSource ref="A1:K99" sheet="Данные"/>
  </cacheSource>
  <cacheFields count="13">
    <cacheField name="ФИО менеджера" numFmtId="0">
      <sharedItems count="15">
        <s v="Иванов И.И."/>
        <s v="Морозова Е.Н."/>
        <s v="Попова Н.А."/>
        <s v="Новиков А.В."/>
        <s v="Козлова М.Д."/>
        <s v="Сидоров П.А."/>
        <s v="Соколов А.П."/>
        <s v="Григорьев С.П."/>
        <s v="Петрова А.С."/>
        <s v="Федорова И.М."/>
        <s v="Орлов В.С."/>
        <s v="Волков Д.А."/>
        <s v="Лебедева О.И."/>
        <s v="Семенова Т.В."/>
        <s v="Зайцев М.Ю."/>
      </sharedItems>
    </cacheField>
    <cacheField name="Отдел" numFmtId="0">
      <sharedItems count="4">
        <s v="Отдел А"/>
        <s v="Отдел Б"/>
        <s v="Отдел В"/>
        <s v="Отдел Г"/>
      </sharedItems>
    </cacheField>
    <cacheField name="План (руб)" numFmtId="3">
      <sharedItems containsSemiMixedTypes="0" containsString="0" containsNumber="1" containsInteger="1" minValue="370000" maxValue="680000"/>
    </cacheField>
    <cacheField name="Дата" numFmtId="164">
      <sharedItems containsSemiMixedTypes="0" containsNonDate="0" containsDate="1" containsString="0" minDate="2024-01-03T00:00:00" maxDate="2024-12-29T00:00:00" count="87">
        <d v="2024-01-03T00:00:00"/>
        <d v="2024-01-05T00:00:00"/>
        <d v="2024-01-07T00:00:00"/>
        <d v="2024-01-16T00:00:00"/>
        <d v="2024-01-24T00:00:00"/>
        <d v="2024-01-31T00:00:00"/>
        <d v="2024-02-06T00:00:00"/>
        <d v="2024-02-08T00:00:00"/>
        <d v="2024-02-09T00:00:00"/>
        <d v="2024-02-18T00:00:00"/>
        <d v="2024-02-20T00:00:00"/>
        <d v="2024-02-24T00:00:00"/>
        <d v="2024-02-26T00:00:00"/>
        <d v="2024-03-03T00:00:00"/>
        <d v="2024-03-06T00:00:00"/>
        <d v="2024-03-09T00:00:00"/>
        <d v="2024-03-13T00:00:00"/>
        <d v="2024-03-15T00:00:00"/>
        <d v="2024-03-18T00:00:00"/>
        <d v="2024-03-19T00:00:00"/>
        <d v="2024-03-21T00:00:00"/>
        <d v="2024-03-23T00:00:00"/>
        <d v="2024-03-29T00:00:00"/>
        <d v="2024-03-30T00:00:00"/>
        <d v="2024-04-04T00:00:00"/>
        <d v="2024-04-05T00:00:00"/>
        <d v="2024-04-16T00:00:00"/>
        <d v="2024-04-21T00:00:00"/>
        <d v="2024-04-23T00:00:00"/>
        <d v="2024-05-02T00:00:00"/>
        <d v="2024-05-07T00:00:00"/>
        <d v="2024-05-15T00:00:00"/>
        <d v="2024-05-18T00:00:00"/>
        <d v="2024-05-20T00:00:00"/>
        <d v="2024-05-21T00:00:00"/>
        <d v="2024-05-23T00:00:00"/>
        <d v="2024-05-25T00:00:00"/>
        <d v="2024-06-04T00:00:00"/>
        <d v="2024-06-05T00:00:00"/>
        <d v="2024-06-07T00:00:00"/>
        <d v="2024-06-11T00:00:00"/>
        <d v="2024-06-13T00:00:00"/>
        <d v="2024-06-19T00:00:00"/>
        <d v="2024-06-22T00:00:00"/>
        <d v="2024-06-23T00:00:00"/>
        <d v="2024-06-24T00:00:00"/>
        <d v="2024-07-11T00:00:00"/>
        <d v="2024-07-13T00:00:00"/>
        <d v="2024-07-19T00:00:00"/>
        <d v="2024-07-23T00:00:00"/>
        <d v="2024-07-26T00:00:00"/>
        <d v="2024-07-28T00:00:00"/>
        <d v="2024-07-29T00:00:00"/>
        <d v="2024-08-01T00:00:00"/>
        <d v="2024-08-04T00:00:00"/>
        <d v="2024-08-05T00:00:00"/>
        <d v="2024-08-09T00:00:00"/>
        <d v="2024-08-10T00:00:00"/>
        <d v="2024-08-12T00:00:00"/>
        <d v="2024-08-16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18T00:00:00"/>
        <d v="2024-09-19T00:00:00"/>
        <d v="2024-09-27T00:00:00"/>
        <d v="2024-09-28T00:00:00"/>
        <d v="2024-09-29T00:00:00"/>
        <d v="2024-10-08T00:00:00"/>
        <d v="2024-10-11T00:00:00"/>
        <d v="2024-10-27T00:00:00"/>
        <d v="2024-10-28T00:00:00"/>
        <d v="2024-11-03T00:00:00"/>
        <d v="2024-11-04T00:00:00"/>
        <d v="2024-11-09T00:00:00"/>
        <d v="2024-11-12T00:00:00"/>
        <d v="2024-11-21T00:00:00"/>
        <d v="2024-11-26T00:00:00"/>
        <d v="2024-12-04T00:00:00"/>
        <d v="2024-12-06T00:00:00"/>
        <d v="2024-12-11T00:00:00"/>
        <d v="2024-12-28T00:00:00"/>
      </sharedItems>
      <fieldGroup par="12"/>
    </cacheField>
    <cacheField name="Месяц" numFmtId="0">
      <sharedItems/>
    </cacheField>
    <cacheField name="Квартал" numFmtId="0">
      <sharedItems/>
    </cacheField>
    <cacheField name="Товар" numFmtId="0">
      <sharedItems count="7">
        <s v="Монитор"/>
        <s v="Клавиатура"/>
        <s v="Наушники"/>
        <s v="Ноутбук"/>
        <s v="Мышь"/>
        <s v="Телефон"/>
        <s v="Планшет"/>
      </sharedItems>
    </cacheField>
    <cacheField name="Категория" numFmtId="0">
      <sharedItems/>
    </cacheField>
    <cacheField name="Кол-во" numFmtId="0">
      <sharedItems containsSemiMixedTypes="0" containsString="0" containsNumber="1" containsInteger="1" minValue="1" maxValue="8"/>
    </cacheField>
    <cacheField name="Цена (руб)" numFmtId="3">
      <sharedItems containsSemiMixedTypes="0" containsString="0" containsNumber="1" containsInteger="1" minValue="1260" maxValue="77098"/>
    </cacheField>
    <cacheField name="Сумма (руб)" numFmtId="3">
      <sharedItems containsSemiMixedTypes="0" containsString="0" containsNumber="1" containsInteger="1" minValue="1262" maxValue="616496"/>
    </cacheField>
    <cacheField name="Дни (Дата)" numFmtId="0" databaseField="0">
      <fieldGroup base="3">
        <rangePr groupBy="days" startDate="2024-01-03T00:00:00" endDate="2024-12-29T00:00:00"/>
        <groupItems count="368">
          <s v="&lt;03.01.2024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29.12.2024"/>
        </groupItems>
      </fieldGroup>
    </cacheField>
    <cacheField name="Месяцы (Дата)" numFmtId="0" databaseField="0">
      <fieldGroup base="3">
        <rangePr groupBy="months" startDate="2024-01-03T00:00:00" endDate="2024-12-29T00:00:00"/>
        <groupItems count="14">
          <s v="&lt;03.01.2024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29.12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x v="0"/>
    <n v="520000"/>
    <x v="0"/>
    <s v="Январь"/>
    <s v="Q1"/>
    <x v="0"/>
    <s v="Техника"/>
    <n v="4"/>
    <n v="24497"/>
    <n v="97988"/>
  </r>
  <r>
    <x v="1"/>
    <x v="1"/>
    <n v="540000"/>
    <x v="1"/>
    <s v="Январь"/>
    <s v="Q1"/>
    <x v="0"/>
    <s v="Техника"/>
    <n v="6"/>
    <n v="24785"/>
    <n v="148710"/>
  </r>
  <r>
    <x v="2"/>
    <x v="2"/>
    <n v="370000"/>
    <x v="1"/>
    <s v="Январь"/>
    <s v="Q1"/>
    <x v="1"/>
    <s v="Аксессуары"/>
    <n v="3"/>
    <n v="2965"/>
    <n v="8895"/>
  </r>
  <r>
    <x v="3"/>
    <x v="0"/>
    <n v="610000"/>
    <x v="2"/>
    <s v="Январь"/>
    <s v="Q1"/>
    <x v="2"/>
    <s v="Аксессуары"/>
    <n v="4"/>
    <n v="7438"/>
    <n v="29752"/>
  </r>
  <r>
    <x v="1"/>
    <x v="1"/>
    <n v="540000"/>
    <x v="2"/>
    <s v="Январь"/>
    <s v="Q1"/>
    <x v="3"/>
    <s v="Техника"/>
    <n v="8"/>
    <n v="77062"/>
    <n v="616496"/>
  </r>
  <r>
    <x v="3"/>
    <x v="0"/>
    <n v="610000"/>
    <x v="3"/>
    <s v="Январь"/>
    <s v="Q1"/>
    <x v="2"/>
    <s v="Аксессуары"/>
    <n v="5"/>
    <n v="7667"/>
    <n v="38335"/>
  </r>
  <r>
    <x v="4"/>
    <x v="3"/>
    <n v="390000"/>
    <x v="4"/>
    <s v="Январь"/>
    <s v="Q1"/>
    <x v="4"/>
    <s v="Аксессуары"/>
    <n v="8"/>
    <n v="1294"/>
    <n v="10352"/>
  </r>
  <r>
    <x v="5"/>
    <x v="0"/>
    <n v="430000"/>
    <x v="5"/>
    <s v="Январь"/>
    <s v="Q1"/>
    <x v="4"/>
    <s v="Аксессуары"/>
    <n v="6"/>
    <n v="1264"/>
    <n v="7584"/>
  </r>
  <r>
    <x v="4"/>
    <x v="3"/>
    <n v="390000"/>
    <x v="5"/>
    <s v="Январь"/>
    <s v="Q1"/>
    <x v="0"/>
    <s v="Техника"/>
    <n v="2"/>
    <n v="24342"/>
    <n v="48684"/>
  </r>
  <r>
    <x v="3"/>
    <x v="0"/>
    <n v="610000"/>
    <x v="6"/>
    <s v="Февраль"/>
    <s v="Q1"/>
    <x v="5"/>
    <s v="Техника"/>
    <n v="4"/>
    <n v="43599"/>
    <n v="174396"/>
  </r>
  <r>
    <x v="6"/>
    <x v="1"/>
    <n v="630000"/>
    <x v="7"/>
    <s v="Февраль"/>
    <s v="Q1"/>
    <x v="3"/>
    <s v="Техника"/>
    <n v="4"/>
    <n v="71492"/>
    <n v="285968"/>
  </r>
  <r>
    <x v="4"/>
    <x v="3"/>
    <n v="390000"/>
    <x v="8"/>
    <s v="Февраль"/>
    <s v="Q1"/>
    <x v="0"/>
    <s v="Техника"/>
    <n v="2"/>
    <n v="25186"/>
    <n v="50372"/>
  </r>
  <r>
    <x v="7"/>
    <x v="2"/>
    <n v="510000"/>
    <x v="8"/>
    <s v="Февраль"/>
    <s v="Q1"/>
    <x v="3"/>
    <s v="Техника"/>
    <n v="5"/>
    <n v="74488"/>
    <n v="372440"/>
  </r>
  <r>
    <x v="0"/>
    <x v="0"/>
    <n v="520000"/>
    <x v="9"/>
    <s v="Февраль"/>
    <s v="Q1"/>
    <x v="0"/>
    <s v="Техника"/>
    <n v="2"/>
    <n v="23611"/>
    <n v="47222"/>
  </r>
  <r>
    <x v="8"/>
    <x v="1"/>
    <n v="680000"/>
    <x v="9"/>
    <s v="Февраль"/>
    <s v="Q1"/>
    <x v="4"/>
    <s v="Аксессуары"/>
    <n v="1"/>
    <n v="1262"/>
    <n v="1262"/>
  </r>
  <r>
    <x v="7"/>
    <x v="2"/>
    <n v="510000"/>
    <x v="10"/>
    <s v="Февраль"/>
    <s v="Q1"/>
    <x v="2"/>
    <s v="Аксессуары"/>
    <n v="5"/>
    <n v="7389"/>
    <n v="36945"/>
  </r>
  <r>
    <x v="9"/>
    <x v="3"/>
    <n v="420000"/>
    <x v="11"/>
    <s v="Февраль"/>
    <s v="Q1"/>
    <x v="6"/>
    <s v="Техника"/>
    <n v="8"/>
    <n v="31604"/>
    <n v="252832"/>
  </r>
  <r>
    <x v="2"/>
    <x v="2"/>
    <n v="370000"/>
    <x v="12"/>
    <s v="Февраль"/>
    <s v="Q1"/>
    <x v="4"/>
    <s v="Аксессуары"/>
    <n v="7"/>
    <n v="1306"/>
    <n v="9142"/>
  </r>
  <r>
    <x v="9"/>
    <x v="3"/>
    <n v="420000"/>
    <x v="13"/>
    <s v="Март"/>
    <s v="Q1"/>
    <x v="6"/>
    <s v="Техника"/>
    <n v="3"/>
    <n v="32442"/>
    <n v="97326"/>
  </r>
  <r>
    <x v="7"/>
    <x v="2"/>
    <n v="510000"/>
    <x v="14"/>
    <s v="Март"/>
    <s v="Q1"/>
    <x v="6"/>
    <s v="Техника"/>
    <n v="4"/>
    <n v="31707"/>
    <n v="126828"/>
  </r>
  <r>
    <x v="10"/>
    <x v="1"/>
    <n v="580000"/>
    <x v="15"/>
    <s v="Март"/>
    <s v="Q1"/>
    <x v="5"/>
    <s v="Техника"/>
    <n v="4"/>
    <n v="46894"/>
    <n v="187576"/>
  </r>
  <r>
    <x v="0"/>
    <x v="0"/>
    <n v="520000"/>
    <x v="16"/>
    <s v="Март"/>
    <s v="Q1"/>
    <x v="4"/>
    <s v="Аксессуары"/>
    <n v="2"/>
    <n v="1260"/>
    <n v="2520"/>
  </r>
  <r>
    <x v="7"/>
    <x v="2"/>
    <n v="510000"/>
    <x v="17"/>
    <s v="Март"/>
    <s v="Q1"/>
    <x v="3"/>
    <s v="Техника"/>
    <n v="7"/>
    <n v="72317"/>
    <n v="506219"/>
  </r>
  <r>
    <x v="2"/>
    <x v="2"/>
    <n v="370000"/>
    <x v="18"/>
    <s v="Март"/>
    <s v="Q1"/>
    <x v="1"/>
    <s v="Аксессуары"/>
    <n v="1"/>
    <n v="2744"/>
    <n v="2744"/>
  </r>
  <r>
    <x v="8"/>
    <x v="1"/>
    <n v="680000"/>
    <x v="19"/>
    <s v="Март"/>
    <s v="Q1"/>
    <x v="1"/>
    <s v="Аксессуары"/>
    <n v="6"/>
    <n v="2889"/>
    <n v="17334"/>
  </r>
  <r>
    <x v="11"/>
    <x v="2"/>
    <n v="470000"/>
    <x v="20"/>
    <s v="Март"/>
    <s v="Q1"/>
    <x v="6"/>
    <s v="Техника"/>
    <n v="6"/>
    <n v="34712"/>
    <n v="208272"/>
  </r>
  <r>
    <x v="1"/>
    <x v="1"/>
    <n v="540000"/>
    <x v="21"/>
    <s v="Март"/>
    <s v="Q1"/>
    <x v="2"/>
    <s v="Аксессуары"/>
    <n v="1"/>
    <n v="7611"/>
    <n v="7611"/>
  </r>
  <r>
    <x v="12"/>
    <x v="3"/>
    <n v="410000"/>
    <x v="21"/>
    <s v="Март"/>
    <s v="Q1"/>
    <x v="1"/>
    <s v="Аксессуары"/>
    <n v="5"/>
    <n v="2968"/>
    <n v="14840"/>
  </r>
  <r>
    <x v="10"/>
    <x v="1"/>
    <n v="580000"/>
    <x v="22"/>
    <s v="Март"/>
    <s v="Q1"/>
    <x v="2"/>
    <s v="Аксессуары"/>
    <n v="6"/>
    <n v="7337"/>
    <n v="44022"/>
  </r>
  <r>
    <x v="2"/>
    <x v="2"/>
    <n v="370000"/>
    <x v="23"/>
    <s v="Март"/>
    <s v="Q1"/>
    <x v="0"/>
    <s v="Техника"/>
    <n v="4"/>
    <n v="25397"/>
    <n v="101588"/>
  </r>
  <r>
    <x v="1"/>
    <x v="1"/>
    <n v="540000"/>
    <x v="24"/>
    <s v="Апрель"/>
    <s v="Q2"/>
    <x v="6"/>
    <s v="Техника"/>
    <n v="2"/>
    <n v="33534"/>
    <n v="67068"/>
  </r>
  <r>
    <x v="13"/>
    <x v="2"/>
    <n v="450000"/>
    <x v="25"/>
    <s v="Апрель"/>
    <s v="Q2"/>
    <x v="0"/>
    <s v="Техника"/>
    <n v="2"/>
    <n v="24994"/>
    <n v="49988"/>
  </r>
  <r>
    <x v="5"/>
    <x v="0"/>
    <n v="430000"/>
    <x v="26"/>
    <s v="Апрель"/>
    <s v="Q2"/>
    <x v="4"/>
    <s v="Аксессуары"/>
    <n v="6"/>
    <n v="1324"/>
    <n v="7944"/>
  </r>
  <r>
    <x v="0"/>
    <x v="0"/>
    <n v="520000"/>
    <x v="27"/>
    <s v="Апрель"/>
    <s v="Q2"/>
    <x v="4"/>
    <s v="Аксессуары"/>
    <n v="1"/>
    <n v="1330"/>
    <n v="1330"/>
  </r>
  <r>
    <x v="5"/>
    <x v="0"/>
    <n v="430000"/>
    <x v="28"/>
    <s v="Апрель"/>
    <s v="Q2"/>
    <x v="2"/>
    <s v="Аксессуары"/>
    <n v="5"/>
    <n v="7405"/>
    <n v="37025"/>
  </r>
  <r>
    <x v="13"/>
    <x v="2"/>
    <n v="450000"/>
    <x v="29"/>
    <s v="Май"/>
    <s v="Q2"/>
    <x v="2"/>
    <s v="Аксессуары"/>
    <n v="8"/>
    <n v="7294"/>
    <n v="58352"/>
  </r>
  <r>
    <x v="14"/>
    <x v="0"/>
    <n v="490000"/>
    <x v="30"/>
    <s v="Май"/>
    <s v="Q2"/>
    <x v="6"/>
    <s v="Техника"/>
    <n v="6"/>
    <n v="33203"/>
    <n v="199218"/>
  </r>
  <r>
    <x v="10"/>
    <x v="1"/>
    <n v="580000"/>
    <x v="31"/>
    <s v="Май"/>
    <s v="Q2"/>
    <x v="1"/>
    <s v="Аксессуары"/>
    <n v="8"/>
    <n v="2859"/>
    <n v="22872"/>
  </r>
  <r>
    <x v="7"/>
    <x v="2"/>
    <n v="510000"/>
    <x v="31"/>
    <s v="Май"/>
    <s v="Q2"/>
    <x v="1"/>
    <s v="Аксессуары"/>
    <n v="5"/>
    <n v="2899"/>
    <n v="14495"/>
  </r>
  <r>
    <x v="14"/>
    <x v="0"/>
    <n v="490000"/>
    <x v="32"/>
    <s v="Май"/>
    <s v="Q2"/>
    <x v="0"/>
    <s v="Техника"/>
    <n v="1"/>
    <n v="25525"/>
    <n v="25525"/>
  </r>
  <r>
    <x v="7"/>
    <x v="2"/>
    <n v="510000"/>
    <x v="33"/>
    <s v="Май"/>
    <s v="Q2"/>
    <x v="5"/>
    <s v="Техника"/>
    <n v="4"/>
    <n v="42753"/>
    <n v="171012"/>
  </r>
  <r>
    <x v="7"/>
    <x v="2"/>
    <n v="510000"/>
    <x v="34"/>
    <s v="Май"/>
    <s v="Q2"/>
    <x v="6"/>
    <s v="Техника"/>
    <n v="4"/>
    <n v="33303"/>
    <n v="133212"/>
  </r>
  <r>
    <x v="4"/>
    <x v="3"/>
    <n v="390000"/>
    <x v="35"/>
    <s v="Май"/>
    <s v="Q2"/>
    <x v="0"/>
    <s v="Техника"/>
    <n v="6"/>
    <n v="25655"/>
    <n v="153930"/>
  </r>
  <r>
    <x v="9"/>
    <x v="3"/>
    <n v="420000"/>
    <x v="36"/>
    <s v="Май"/>
    <s v="Q2"/>
    <x v="5"/>
    <s v="Техника"/>
    <n v="5"/>
    <n v="46232"/>
    <n v="231160"/>
  </r>
  <r>
    <x v="10"/>
    <x v="1"/>
    <n v="580000"/>
    <x v="37"/>
    <s v="Июнь"/>
    <s v="Q2"/>
    <x v="0"/>
    <s v="Техника"/>
    <n v="2"/>
    <n v="24557"/>
    <n v="49114"/>
  </r>
  <r>
    <x v="9"/>
    <x v="3"/>
    <n v="420000"/>
    <x v="38"/>
    <s v="Июнь"/>
    <s v="Q2"/>
    <x v="1"/>
    <s v="Аксессуары"/>
    <n v="8"/>
    <n v="2969"/>
    <n v="23752"/>
  </r>
  <r>
    <x v="6"/>
    <x v="1"/>
    <n v="630000"/>
    <x v="39"/>
    <s v="Июнь"/>
    <s v="Q2"/>
    <x v="0"/>
    <s v="Техника"/>
    <n v="1"/>
    <n v="25006"/>
    <n v="25006"/>
  </r>
  <r>
    <x v="9"/>
    <x v="3"/>
    <n v="420000"/>
    <x v="40"/>
    <s v="Июнь"/>
    <s v="Q2"/>
    <x v="0"/>
    <s v="Техника"/>
    <n v="6"/>
    <n v="23948"/>
    <n v="143688"/>
  </r>
  <r>
    <x v="3"/>
    <x v="0"/>
    <n v="610000"/>
    <x v="41"/>
    <s v="Июнь"/>
    <s v="Q2"/>
    <x v="2"/>
    <s v="Аксессуары"/>
    <n v="3"/>
    <n v="7597"/>
    <n v="22791"/>
  </r>
  <r>
    <x v="1"/>
    <x v="1"/>
    <n v="540000"/>
    <x v="41"/>
    <s v="Июнь"/>
    <s v="Q2"/>
    <x v="0"/>
    <s v="Техника"/>
    <n v="7"/>
    <n v="23720"/>
    <n v="166040"/>
  </r>
  <r>
    <x v="0"/>
    <x v="0"/>
    <n v="520000"/>
    <x v="42"/>
    <s v="Июнь"/>
    <s v="Q2"/>
    <x v="3"/>
    <s v="Техника"/>
    <n v="4"/>
    <n v="76511"/>
    <n v="306044"/>
  </r>
  <r>
    <x v="3"/>
    <x v="0"/>
    <n v="610000"/>
    <x v="43"/>
    <s v="Июнь"/>
    <s v="Q2"/>
    <x v="0"/>
    <s v="Техника"/>
    <n v="3"/>
    <n v="25830"/>
    <n v="77490"/>
  </r>
  <r>
    <x v="5"/>
    <x v="0"/>
    <n v="430000"/>
    <x v="44"/>
    <s v="Июнь"/>
    <s v="Q2"/>
    <x v="6"/>
    <s v="Техника"/>
    <n v="8"/>
    <n v="33513"/>
    <n v="268104"/>
  </r>
  <r>
    <x v="6"/>
    <x v="1"/>
    <n v="630000"/>
    <x v="45"/>
    <s v="Июнь"/>
    <s v="Q2"/>
    <x v="3"/>
    <s v="Техника"/>
    <n v="5"/>
    <n v="77098"/>
    <n v="385490"/>
  </r>
  <r>
    <x v="13"/>
    <x v="2"/>
    <n v="450000"/>
    <x v="46"/>
    <s v="Июль"/>
    <s v="Q3"/>
    <x v="1"/>
    <s v="Аксессуары"/>
    <n v="4"/>
    <n v="2984"/>
    <n v="11936"/>
  </r>
  <r>
    <x v="3"/>
    <x v="0"/>
    <n v="610000"/>
    <x v="47"/>
    <s v="Июль"/>
    <s v="Q3"/>
    <x v="1"/>
    <s v="Аксессуары"/>
    <n v="3"/>
    <n v="2786"/>
    <n v="8358"/>
  </r>
  <r>
    <x v="5"/>
    <x v="0"/>
    <n v="430000"/>
    <x v="48"/>
    <s v="Июль"/>
    <s v="Q3"/>
    <x v="0"/>
    <s v="Техника"/>
    <n v="4"/>
    <n v="24358"/>
    <n v="97432"/>
  </r>
  <r>
    <x v="9"/>
    <x v="3"/>
    <n v="420000"/>
    <x v="49"/>
    <s v="Июль"/>
    <s v="Q3"/>
    <x v="3"/>
    <s v="Техника"/>
    <n v="5"/>
    <n v="72649"/>
    <n v="363245"/>
  </r>
  <r>
    <x v="6"/>
    <x v="1"/>
    <n v="630000"/>
    <x v="50"/>
    <s v="Июль"/>
    <s v="Q3"/>
    <x v="4"/>
    <s v="Аксессуары"/>
    <n v="6"/>
    <n v="1384"/>
    <n v="8304"/>
  </r>
  <r>
    <x v="3"/>
    <x v="0"/>
    <n v="610000"/>
    <x v="51"/>
    <s v="Июль"/>
    <s v="Q3"/>
    <x v="1"/>
    <s v="Аксессуары"/>
    <n v="7"/>
    <n v="2786"/>
    <n v="19502"/>
  </r>
  <r>
    <x v="2"/>
    <x v="2"/>
    <n v="370000"/>
    <x v="51"/>
    <s v="Июль"/>
    <s v="Q3"/>
    <x v="5"/>
    <s v="Техника"/>
    <n v="4"/>
    <n v="46261"/>
    <n v="185044"/>
  </r>
  <r>
    <x v="1"/>
    <x v="1"/>
    <n v="540000"/>
    <x v="52"/>
    <s v="Июль"/>
    <s v="Q3"/>
    <x v="2"/>
    <s v="Аксессуары"/>
    <n v="7"/>
    <n v="7812"/>
    <n v="54684"/>
  </r>
  <r>
    <x v="12"/>
    <x v="3"/>
    <n v="410000"/>
    <x v="53"/>
    <s v="Август"/>
    <s v="Q3"/>
    <x v="5"/>
    <s v="Техника"/>
    <n v="6"/>
    <n v="46820"/>
    <n v="280920"/>
  </r>
  <r>
    <x v="11"/>
    <x v="2"/>
    <n v="470000"/>
    <x v="54"/>
    <s v="Август"/>
    <s v="Q3"/>
    <x v="3"/>
    <s v="Техника"/>
    <n v="8"/>
    <n v="76064"/>
    <n v="608512"/>
  </r>
  <r>
    <x v="14"/>
    <x v="0"/>
    <n v="490000"/>
    <x v="55"/>
    <s v="Август"/>
    <s v="Q3"/>
    <x v="1"/>
    <s v="Аксессуары"/>
    <n v="1"/>
    <n v="2750"/>
    <n v="2750"/>
  </r>
  <r>
    <x v="6"/>
    <x v="1"/>
    <n v="630000"/>
    <x v="56"/>
    <s v="Август"/>
    <s v="Q3"/>
    <x v="5"/>
    <s v="Техника"/>
    <n v="6"/>
    <n v="45662"/>
    <n v="273972"/>
  </r>
  <r>
    <x v="12"/>
    <x v="3"/>
    <n v="410000"/>
    <x v="57"/>
    <s v="Август"/>
    <s v="Q3"/>
    <x v="3"/>
    <s v="Техника"/>
    <n v="6"/>
    <n v="70884"/>
    <n v="425304"/>
  </r>
  <r>
    <x v="12"/>
    <x v="3"/>
    <n v="410000"/>
    <x v="58"/>
    <s v="Август"/>
    <s v="Q3"/>
    <x v="5"/>
    <s v="Техника"/>
    <n v="4"/>
    <n v="44153"/>
    <n v="176612"/>
  </r>
  <r>
    <x v="5"/>
    <x v="0"/>
    <n v="430000"/>
    <x v="59"/>
    <s v="Август"/>
    <s v="Q3"/>
    <x v="6"/>
    <s v="Техника"/>
    <n v="5"/>
    <n v="33961"/>
    <n v="169805"/>
  </r>
  <r>
    <x v="2"/>
    <x v="2"/>
    <n v="370000"/>
    <x v="60"/>
    <s v="Август"/>
    <s v="Q3"/>
    <x v="5"/>
    <s v="Техника"/>
    <n v="6"/>
    <n v="44503"/>
    <n v="267018"/>
  </r>
  <r>
    <x v="6"/>
    <x v="1"/>
    <n v="630000"/>
    <x v="61"/>
    <s v="Август"/>
    <s v="Q3"/>
    <x v="4"/>
    <s v="Аксессуары"/>
    <n v="2"/>
    <n v="1299"/>
    <n v="2598"/>
  </r>
  <r>
    <x v="10"/>
    <x v="1"/>
    <n v="580000"/>
    <x v="62"/>
    <s v="Август"/>
    <s v="Q3"/>
    <x v="5"/>
    <s v="Техника"/>
    <n v="5"/>
    <n v="45692"/>
    <n v="228460"/>
  </r>
  <r>
    <x v="9"/>
    <x v="3"/>
    <n v="420000"/>
    <x v="62"/>
    <s v="Август"/>
    <s v="Q3"/>
    <x v="3"/>
    <s v="Техника"/>
    <n v="4"/>
    <n v="70654"/>
    <n v="282616"/>
  </r>
  <r>
    <x v="11"/>
    <x v="2"/>
    <n v="470000"/>
    <x v="63"/>
    <s v="Сентябрь"/>
    <s v="Q3"/>
    <x v="3"/>
    <s v="Техника"/>
    <n v="7"/>
    <n v="76251"/>
    <n v="533757"/>
  </r>
  <r>
    <x v="13"/>
    <x v="2"/>
    <n v="450000"/>
    <x v="63"/>
    <s v="Сентябрь"/>
    <s v="Q3"/>
    <x v="2"/>
    <s v="Аксессуары"/>
    <n v="2"/>
    <n v="7899"/>
    <n v="15798"/>
  </r>
  <r>
    <x v="13"/>
    <x v="2"/>
    <n v="450000"/>
    <x v="64"/>
    <s v="Сентябрь"/>
    <s v="Q3"/>
    <x v="6"/>
    <s v="Техника"/>
    <n v="8"/>
    <n v="33805"/>
    <n v="270440"/>
  </r>
  <r>
    <x v="5"/>
    <x v="0"/>
    <n v="430000"/>
    <x v="65"/>
    <s v="Сентябрь"/>
    <s v="Q3"/>
    <x v="3"/>
    <s v="Техника"/>
    <n v="3"/>
    <n v="73587"/>
    <n v="220761"/>
  </r>
  <r>
    <x v="8"/>
    <x v="1"/>
    <n v="680000"/>
    <x v="66"/>
    <s v="Сентябрь"/>
    <s v="Q3"/>
    <x v="1"/>
    <s v="Аксессуары"/>
    <n v="3"/>
    <n v="2795"/>
    <n v="8385"/>
  </r>
  <r>
    <x v="11"/>
    <x v="2"/>
    <n v="470000"/>
    <x v="67"/>
    <s v="Сентябрь"/>
    <s v="Q3"/>
    <x v="1"/>
    <s v="Аксессуары"/>
    <n v="6"/>
    <n v="2736"/>
    <n v="16416"/>
  </r>
  <r>
    <x v="12"/>
    <x v="3"/>
    <n v="410000"/>
    <x v="68"/>
    <s v="Сентябрь"/>
    <s v="Q3"/>
    <x v="2"/>
    <s v="Аксессуары"/>
    <n v="4"/>
    <n v="7602"/>
    <n v="30408"/>
  </r>
  <r>
    <x v="0"/>
    <x v="0"/>
    <n v="520000"/>
    <x v="69"/>
    <s v="Сентябрь"/>
    <s v="Q3"/>
    <x v="0"/>
    <s v="Техника"/>
    <n v="4"/>
    <n v="23587"/>
    <n v="94348"/>
  </r>
  <r>
    <x v="2"/>
    <x v="2"/>
    <n v="370000"/>
    <x v="70"/>
    <s v="Сентябрь"/>
    <s v="Q3"/>
    <x v="1"/>
    <s v="Аксессуары"/>
    <n v="6"/>
    <n v="2986"/>
    <n v="17916"/>
  </r>
  <r>
    <x v="8"/>
    <x v="1"/>
    <n v="680000"/>
    <x v="71"/>
    <s v="Сентябрь"/>
    <s v="Q3"/>
    <x v="5"/>
    <s v="Техника"/>
    <n v="3"/>
    <n v="43857"/>
    <n v="131571"/>
  </r>
  <r>
    <x v="10"/>
    <x v="1"/>
    <n v="580000"/>
    <x v="72"/>
    <s v="Сентябрь"/>
    <s v="Q3"/>
    <x v="5"/>
    <s v="Техника"/>
    <n v="3"/>
    <n v="46323"/>
    <n v="138969"/>
  </r>
  <r>
    <x v="10"/>
    <x v="1"/>
    <n v="580000"/>
    <x v="73"/>
    <s v="Октябрь"/>
    <s v="Q4"/>
    <x v="0"/>
    <s v="Техника"/>
    <n v="5"/>
    <n v="23645"/>
    <n v="118225"/>
  </r>
  <r>
    <x v="9"/>
    <x v="3"/>
    <n v="420000"/>
    <x v="74"/>
    <s v="Октябрь"/>
    <s v="Q4"/>
    <x v="3"/>
    <s v="Техника"/>
    <n v="3"/>
    <n v="71876"/>
    <n v="215628"/>
  </r>
  <r>
    <x v="10"/>
    <x v="1"/>
    <n v="580000"/>
    <x v="75"/>
    <s v="Октябрь"/>
    <s v="Q4"/>
    <x v="5"/>
    <s v="Техника"/>
    <n v="7"/>
    <n v="43283"/>
    <n v="302981"/>
  </r>
  <r>
    <x v="12"/>
    <x v="3"/>
    <n v="410000"/>
    <x v="76"/>
    <s v="Октябрь"/>
    <s v="Q4"/>
    <x v="3"/>
    <s v="Техника"/>
    <n v="5"/>
    <n v="74942"/>
    <n v="374710"/>
  </r>
  <r>
    <x v="2"/>
    <x v="2"/>
    <n v="370000"/>
    <x v="77"/>
    <s v="Ноябрь"/>
    <s v="Q4"/>
    <x v="4"/>
    <s v="Аксессуары"/>
    <n v="3"/>
    <n v="1274"/>
    <n v="3822"/>
  </r>
  <r>
    <x v="10"/>
    <x v="1"/>
    <n v="580000"/>
    <x v="78"/>
    <s v="Ноябрь"/>
    <s v="Q4"/>
    <x v="0"/>
    <s v="Техника"/>
    <n v="3"/>
    <n v="25650"/>
    <n v="76950"/>
  </r>
  <r>
    <x v="12"/>
    <x v="3"/>
    <n v="410000"/>
    <x v="79"/>
    <s v="Ноябрь"/>
    <s v="Q4"/>
    <x v="0"/>
    <s v="Техника"/>
    <n v="3"/>
    <n v="25512"/>
    <n v="76536"/>
  </r>
  <r>
    <x v="14"/>
    <x v="0"/>
    <n v="490000"/>
    <x v="80"/>
    <s v="Ноябрь"/>
    <s v="Q4"/>
    <x v="0"/>
    <s v="Техника"/>
    <n v="7"/>
    <n v="25101"/>
    <n v="175707"/>
  </r>
  <r>
    <x v="2"/>
    <x v="2"/>
    <n v="370000"/>
    <x v="81"/>
    <s v="Ноябрь"/>
    <s v="Q4"/>
    <x v="3"/>
    <s v="Техника"/>
    <n v="3"/>
    <n v="73695"/>
    <n v="221085"/>
  </r>
  <r>
    <x v="6"/>
    <x v="1"/>
    <n v="630000"/>
    <x v="82"/>
    <s v="Ноябрь"/>
    <s v="Q4"/>
    <x v="5"/>
    <s v="Техника"/>
    <n v="8"/>
    <n v="43455"/>
    <n v="347640"/>
  </r>
  <r>
    <x v="13"/>
    <x v="2"/>
    <n v="450000"/>
    <x v="83"/>
    <s v="Декабрь"/>
    <s v="Q4"/>
    <x v="1"/>
    <s v="Аксессуары"/>
    <n v="4"/>
    <n v="2723"/>
    <n v="10892"/>
  </r>
  <r>
    <x v="13"/>
    <x v="2"/>
    <n v="450000"/>
    <x v="84"/>
    <s v="Декабрь"/>
    <s v="Q4"/>
    <x v="1"/>
    <s v="Аксессуары"/>
    <n v="3"/>
    <n v="2708"/>
    <n v="8124"/>
  </r>
  <r>
    <x v="5"/>
    <x v="0"/>
    <n v="430000"/>
    <x v="85"/>
    <s v="Декабрь"/>
    <s v="Q4"/>
    <x v="5"/>
    <s v="Техника"/>
    <n v="7"/>
    <n v="46741"/>
    <n v="327187"/>
  </r>
  <r>
    <x v="6"/>
    <x v="1"/>
    <n v="630000"/>
    <x v="86"/>
    <s v="Декабрь"/>
    <s v="Q4"/>
    <x v="5"/>
    <s v="Техника"/>
    <n v="7"/>
    <n v="46171"/>
    <n v="323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6B937-F2C2-FD4F-8C64-7405F9E4CA59}" name="Сводная таблица15" cacheId="66" applyNumberFormats="0" applyBorderFormats="0" applyFontFormats="0" applyPatternFormats="0" applyAlignmentFormats="0" applyWidthHeightFormats="1" dataCaption="Значения" updatedVersion="8" minRefreshableVersion="3" useAutoFormatting="1" fieldPrintTitles="1" itemPrintTitles="1" createdVersion="8" indent="0" outline="1" outlineData="1" multipleFieldFilters="0" chartFormat="4" rowHeaderCaption="Отдел">
  <location ref="A3:C8" firstHeaderRow="0" firstDataRow="1" firstDataCol="1"/>
  <pivotFields count="13">
    <pivotField dataField="1" showAll="0">
      <items count="16">
        <item x="11"/>
        <item x="7"/>
        <item x="14"/>
        <item x="0"/>
        <item x="4"/>
        <item x="12"/>
        <item x="1"/>
        <item x="3"/>
        <item x="10"/>
        <item x="8"/>
        <item x="2"/>
        <item x="13"/>
        <item x="5"/>
        <item x="6"/>
        <item x="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numFmtId="3" showAll="0"/>
    <pivotField numFmtId="164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showAll="0"/>
    <pivotField showAll="0"/>
    <pivotField showAll="0"/>
    <pivotField showAll="0"/>
    <pivotField numFmtId="3" showAll="0"/>
    <pivotField dataField="1"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" fld="10" baseField="0" baseItem="0" numFmtId="3"/>
    <dataField name="Количество сделок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42BE0-6833-D943-806C-DD8E743A81CA}" name="Сводная таблица16" cacheId="6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 rowHeaderCaption="Товар">
  <location ref="A3:B11" firstHeaderRow="1" firstDataRow="1" firstDataCol="1"/>
  <pivotFields count="13">
    <pivotField showAll="0"/>
    <pivotField showAll="0"/>
    <pivotField numFmtId="3" showAll="0"/>
    <pivotField numFmtId="164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showAll="0"/>
    <pivotField axis="axisRow" showAll="0">
      <items count="8">
        <item x="1"/>
        <item x="0"/>
        <item x="4"/>
        <item x="2"/>
        <item x="3"/>
        <item x="6"/>
        <item x="5"/>
        <item t="default"/>
      </items>
    </pivotField>
    <pivotField showAll="0"/>
    <pivotField showAll="0"/>
    <pivotField numFmtId="3" showAll="0"/>
    <pivotField dataField="1"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Выручка" fld="10" baseField="0" baseItem="0" numFmtId="3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C7FED-B9C6-4F42-90CB-7625CEDE1E6B}" name="Сводная таблица17" cacheId="6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Месяц">
  <location ref="A3:B16" firstHeaderRow="1" firstDataRow="1" firstDataCol="1"/>
  <pivotFields count="13">
    <pivotField showAll="0"/>
    <pivotField showAll="0"/>
    <pivotField numFmtId="3" showAll="0"/>
    <pivotField numFmtId="164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showAll="0"/>
    <pivotField showAll="0"/>
    <pivotField showAll="0"/>
    <pivotField showAll="0"/>
    <pivotField numFmtId="3" showAll="0"/>
    <pivotField dataField="1" numFmtId="3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Выручка" fld="10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3FF1-6166-6543-A064-6578043217C3}">
  <dimension ref="A3:D8"/>
  <sheetViews>
    <sheetView workbookViewId="0">
      <selection activeCell="D6" sqref="D6"/>
    </sheetView>
  </sheetViews>
  <sheetFormatPr baseColWidth="10" defaultRowHeight="15" x14ac:dyDescent="0.2"/>
  <cols>
    <col min="1" max="1" width="10.6640625" bestFit="1" customWidth="1"/>
    <col min="2" max="2" width="9.83203125" bestFit="1" customWidth="1"/>
    <col min="3" max="3" width="16.5" bestFit="1" customWidth="1"/>
    <col min="4" max="4" width="11.5" bestFit="1" customWidth="1"/>
    <col min="6" max="6" width="12" bestFit="1" customWidth="1"/>
    <col min="7" max="7" width="12.83203125" bestFit="1" customWidth="1"/>
    <col min="8" max="8" width="12.6640625" bestFit="1" customWidth="1"/>
    <col min="9" max="9" width="11.5" bestFit="1" customWidth="1"/>
    <col min="10" max="10" width="9.6640625" bestFit="1" customWidth="1"/>
    <col min="11" max="11" width="11.1640625" bestFit="1" customWidth="1"/>
    <col min="12" max="12" width="10.6640625" bestFit="1" customWidth="1"/>
    <col min="13" max="13" width="12.5" bestFit="1" customWidth="1"/>
    <col min="14" max="14" width="11.6640625" bestFit="1" customWidth="1"/>
    <col min="15" max="15" width="11.5" bestFit="1" customWidth="1"/>
    <col min="16" max="16" width="13.5" bestFit="1" customWidth="1"/>
    <col min="17" max="17" width="10.6640625" bestFit="1" customWidth="1"/>
  </cols>
  <sheetData>
    <row r="3" spans="1:4" x14ac:dyDescent="0.2">
      <c r="A3" s="10" t="s">
        <v>1</v>
      </c>
      <c r="B3" t="s">
        <v>56</v>
      </c>
      <c r="C3" t="s">
        <v>57</v>
      </c>
      <c r="D3" t="s">
        <v>58</v>
      </c>
    </row>
    <row r="4" spans="1:4" x14ac:dyDescent="0.2">
      <c r="A4" s="11" t="s">
        <v>12</v>
      </c>
      <c r="B4" s="12">
        <v>2459118</v>
      </c>
      <c r="C4">
        <v>25</v>
      </c>
      <c r="D4" s="14">
        <f>B4/C4</f>
        <v>98364.72</v>
      </c>
    </row>
    <row r="5" spans="1:4" x14ac:dyDescent="0.2">
      <c r="A5" s="11" t="s">
        <v>18</v>
      </c>
      <c r="B5" s="12">
        <v>4040505</v>
      </c>
      <c r="C5">
        <v>27</v>
      </c>
      <c r="D5" s="14">
        <f t="shared" ref="D5:D8" si="0">B5/C5</f>
        <v>149648.33333333334</v>
      </c>
    </row>
    <row r="6" spans="1:4" x14ac:dyDescent="0.2">
      <c r="A6" s="11" t="s">
        <v>20</v>
      </c>
      <c r="B6" s="12">
        <v>3970892</v>
      </c>
      <c r="C6">
        <v>27</v>
      </c>
      <c r="D6" s="14">
        <f t="shared" si="0"/>
        <v>147070.07407407407</v>
      </c>
    </row>
    <row r="7" spans="1:4" x14ac:dyDescent="0.2">
      <c r="A7" s="11" t="s">
        <v>27</v>
      </c>
      <c r="B7" s="12">
        <v>3252915</v>
      </c>
      <c r="C7">
        <v>19</v>
      </c>
      <c r="D7" s="14">
        <f t="shared" si="0"/>
        <v>171206.05263157896</v>
      </c>
    </row>
    <row r="8" spans="1:4" x14ac:dyDescent="0.2">
      <c r="A8" s="11" t="s">
        <v>55</v>
      </c>
      <c r="B8" s="12">
        <v>13723430</v>
      </c>
      <c r="C8">
        <v>98</v>
      </c>
      <c r="D8" s="14">
        <f t="shared" si="0"/>
        <v>140035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FB1E-DE9E-5446-8AA8-9CB03C548DB7}">
  <dimension ref="A3:D11"/>
  <sheetViews>
    <sheetView workbookViewId="0">
      <selection activeCell="C6" sqref="C6"/>
    </sheetView>
  </sheetViews>
  <sheetFormatPr baseColWidth="10" defaultRowHeight="15" x14ac:dyDescent="0.2"/>
  <cols>
    <col min="1" max="1" width="10.6640625" bestFit="1" customWidth="1"/>
    <col min="2" max="2" width="9.83203125" bestFit="1" customWidth="1"/>
  </cols>
  <sheetData>
    <row r="3" spans="1:4" x14ac:dyDescent="0.2">
      <c r="A3" s="10" t="s">
        <v>6</v>
      </c>
      <c r="B3" t="s">
        <v>56</v>
      </c>
      <c r="C3" s="15" t="s">
        <v>59</v>
      </c>
      <c r="D3" s="15" t="s">
        <v>7</v>
      </c>
    </row>
    <row r="4" spans="1:4" x14ac:dyDescent="0.2">
      <c r="A4" s="11" t="s">
        <v>21</v>
      </c>
      <c r="B4" s="12">
        <v>209211</v>
      </c>
      <c r="C4" s="13">
        <f>B4/B$11</f>
        <v>1.5244803959360015E-2</v>
      </c>
      <c r="D4" t="str">
        <f>_xlfn.XLOOKUP(A4,Данные!G2:G99,Данные!H2:H99,"")</f>
        <v>Аксессуары</v>
      </c>
    </row>
    <row r="5" spans="1:4" x14ac:dyDescent="0.2">
      <c r="A5" s="11" t="s">
        <v>15</v>
      </c>
      <c r="B5" s="12">
        <v>1824543</v>
      </c>
      <c r="C5" s="13">
        <f t="shared" ref="C5:C10" si="0">B5/B$11</f>
        <v>0.13295094593698514</v>
      </c>
      <c r="D5" t="str">
        <f>_xlfn.XLOOKUP(A5,Данные!G3:G100,Данные!H3:H100,"")</f>
        <v>Техника</v>
      </c>
    </row>
    <row r="6" spans="1:4" x14ac:dyDescent="0.2">
      <c r="A6" s="11" t="s">
        <v>28</v>
      </c>
      <c r="B6" s="12">
        <v>54858</v>
      </c>
      <c r="C6" s="13">
        <f t="shared" si="0"/>
        <v>3.9973971521696837E-3</v>
      </c>
      <c r="D6" t="str">
        <f>_xlfn.XLOOKUP(A6,Данные!G4:G101,Данные!H4:H101,"")</f>
        <v>Аксессуары</v>
      </c>
    </row>
    <row r="7" spans="1:4" x14ac:dyDescent="0.2">
      <c r="A7" s="11" t="s">
        <v>24</v>
      </c>
      <c r="B7" s="12">
        <v>375723</v>
      </c>
      <c r="C7" s="13">
        <f t="shared" si="0"/>
        <v>2.7378213755599002E-2</v>
      </c>
      <c r="D7" t="str">
        <f>_xlfn.XLOOKUP(A7,Данные!G5:G102,Данные!H5:H102,"")</f>
        <v>Аксессуары</v>
      </c>
    </row>
    <row r="8" spans="1:4" x14ac:dyDescent="0.2">
      <c r="A8" s="11" t="s">
        <v>25</v>
      </c>
      <c r="B8" s="12">
        <v>5718275</v>
      </c>
      <c r="C8" s="13">
        <f t="shared" si="0"/>
        <v>0.41667972219773047</v>
      </c>
      <c r="D8" t="str">
        <f>_xlfn.XLOOKUP(A8,Данные!G6:G103,Данные!H6:H103,"")</f>
        <v>Техника</v>
      </c>
    </row>
    <row r="9" spans="1:4" x14ac:dyDescent="0.2">
      <c r="A9" s="11" t="s">
        <v>36</v>
      </c>
      <c r="B9" s="12">
        <v>1793105</v>
      </c>
      <c r="C9" s="13">
        <f t="shared" si="0"/>
        <v>0.13066011922675308</v>
      </c>
      <c r="D9" t="str">
        <f>_xlfn.XLOOKUP(A9,Данные!G7:G104,Данные!H7:H104,"")</f>
        <v>Техника</v>
      </c>
    </row>
    <row r="10" spans="1:4" x14ac:dyDescent="0.2">
      <c r="A10" s="11" t="s">
        <v>31</v>
      </c>
      <c r="B10" s="12">
        <v>3747715</v>
      </c>
      <c r="C10" s="13">
        <f t="shared" si="0"/>
        <v>0.2730887977714026</v>
      </c>
      <c r="D10" t="str">
        <f>_xlfn.XLOOKUP(A10,Данные!G8:G105,Данные!H8:H105,"")</f>
        <v>Техника</v>
      </c>
    </row>
    <row r="11" spans="1:4" x14ac:dyDescent="0.2">
      <c r="A11" s="11" t="s">
        <v>55</v>
      </c>
      <c r="B11" s="12">
        <v>13723430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F3E3-5C84-0741-90D9-0D317FCC2944}">
  <dimension ref="A3:B16"/>
  <sheetViews>
    <sheetView workbookViewId="0">
      <selection activeCell="A4" sqref="A4:B15"/>
    </sheetView>
  </sheetViews>
  <sheetFormatPr baseColWidth="10" defaultRowHeight="15" x14ac:dyDescent="0.2"/>
  <cols>
    <col min="1" max="1" width="16" bestFit="1" customWidth="1"/>
    <col min="2" max="2" width="24.1640625" bestFit="1" customWidth="1"/>
  </cols>
  <sheetData>
    <row r="3" spans="1:2" x14ac:dyDescent="0.2">
      <c r="A3" s="10" t="s">
        <v>4</v>
      </c>
      <c r="B3" t="s">
        <v>56</v>
      </c>
    </row>
    <row r="4" spans="1:2" x14ac:dyDescent="0.2">
      <c r="A4" s="11" t="s">
        <v>60</v>
      </c>
      <c r="B4" s="12">
        <v>1006796</v>
      </c>
    </row>
    <row r="5" spans="1:2" x14ac:dyDescent="0.2">
      <c r="A5" s="11" t="s">
        <v>61</v>
      </c>
      <c r="B5" s="12">
        <v>1230579</v>
      </c>
    </row>
    <row r="6" spans="1:2" x14ac:dyDescent="0.2">
      <c r="A6" s="11" t="s">
        <v>62</v>
      </c>
      <c r="B6" s="12">
        <v>1316880</v>
      </c>
    </row>
    <row r="7" spans="1:2" x14ac:dyDescent="0.2">
      <c r="A7" s="11" t="s">
        <v>63</v>
      </c>
      <c r="B7" s="12">
        <v>163355</v>
      </c>
    </row>
    <row r="8" spans="1:2" x14ac:dyDescent="0.2">
      <c r="A8" s="11" t="s">
        <v>64</v>
      </c>
      <c r="B8" s="12">
        <v>1009776</v>
      </c>
    </row>
    <row r="9" spans="1:2" x14ac:dyDescent="0.2">
      <c r="A9" s="11" t="s">
        <v>65</v>
      </c>
      <c r="B9" s="12">
        <v>1467519</v>
      </c>
    </row>
    <row r="10" spans="1:2" x14ac:dyDescent="0.2">
      <c r="A10" s="11" t="s">
        <v>66</v>
      </c>
      <c r="B10" s="12">
        <v>748505</v>
      </c>
    </row>
    <row r="11" spans="1:2" x14ac:dyDescent="0.2">
      <c r="A11" s="11" t="s">
        <v>67</v>
      </c>
      <c r="B11" s="12">
        <v>2718567</v>
      </c>
    </row>
    <row r="12" spans="1:2" x14ac:dyDescent="0.2">
      <c r="A12" s="11" t="s">
        <v>68</v>
      </c>
      <c r="B12" s="12">
        <v>1478769</v>
      </c>
    </row>
    <row r="13" spans="1:2" x14ac:dyDescent="0.2">
      <c r="A13" s="11" t="s">
        <v>69</v>
      </c>
      <c r="B13" s="12">
        <v>1011544</v>
      </c>
    </row>
    <row r="14" spans="1:2" x14ac:dyDescent="0.2">
      <c r="A14" s="11" t="s">
        <v>70</v>
      </c>
      <c r="B14" s="12">
        <v>901740</v>
      </c>
    </row>
    <row r="15" spans="1:2" x14ac:dyDescent="0.2">
      <c r="A15" s="11" t="s">
        <v>71</v>
      </c>
      <c r="B15" s="12">
        <v>669400</v>
      </c>
    </row>
    <row r="16" spans="1:2" x14ac:dyDescent="0.2">
      <c r="A16" s="11" t="s">
        <v>55</v>
      </c>
      <c r="B16" s="12">
        <v>13723430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D572-C692-1F47-9E4C-9D8557E223F0}">
  <dimension ref="A1:I16"/>
  <sheetViews>
    <sheetView workbookViewId="0">
      <selection activeCell="D9" sqref="D9"/>
    </sheetView>
  </sheetViews>
  <sheetFormatPr baseColWidth="10" defaultRowHeight="15" x14ac:dyDescent="0.2"/>
  <cols>
    <col min="5" max="5" width="12.6640625" customWidth="1"/>
    <col min="6" max="6" width="12.1640625" customWidth="1"/>
    <col min="9" max="9" width="12" customWidth="1"/>
  </cols>
  <sheetData>
    <row r="1" spans="1:9" x14ac:dyDescent="0.2">
      <c r="A1" t="s">
        <v>72</v>
      </c>
      <c r="B1" t="s">
        <v>1</v>
      </c>
      <c r="C1" t="s">
        <v>2</v>
      </c>
      <c r="D1" t="s">
        <v>73</v>
      </c>
      <c r="E1" t="s">
        <v>74</v>
      </c>
      <c r="F1" t="s">
        <v>75</v>
      </c>
      <c r="G1" t="s">
        <v>58</v>
      </c>
      <c r="H1" t="s">
        <v>76</v>
      </c>
      <c r="I1" t="s">
        <v>77</v>
      </c>
    </row>
    <row r="2" spans="1:9" x14ac:dyDescent="0.2">
      <c r="A2" s="2" t="str" cm="1">
        <f t="array" ref="A2:A16">_xlfn.UNIQUE(Данные!A2:A99)</f>
        <v>Иванов И.И.</v>
      </c>
      <c r="B2" t="str">
        <f>_xlfn.XLOOKUP(A2,Данные!A:A,Данные!B:B,"")</f>
        <v>Отдел А</v>
      </c>
      <c r="C2">
        <f>_xlfn.XLOOKUP(A2,Данные!A:A,Данные!C:C,0)</f>
        <v>520000</v>
      </c>
      <c r="D2">
        <f>SUMIFS(Данные!K:K,Данные!A:A,A2)</f>
        <v>549452</v>
      </c>
      <c r="E2" s="16">
        <f>IFERROR(D2/C2,0)</f>
        <v>1.0566384615384616</v>
      </c>
      <c r="F2">
        <f>COUNTIF(Данные!A:A,A2)</f>
        <v>6</v>
      </c>
      <c r="G2" s="14">
        <f>IFERROR(D2/F2,0)</f>
        <v>91575.333333333328</v>
      </c>
      <c r="H2">
        <f>RANK(D2,D$2:D$16,0)</f>
        <v>10</v>
      </c>
      <c r="I2" t="str">
        <f>IF(E2&gt;=1,"Выполнен","Не выполнен")</f>
        <v>Выполнен</v>
      </c>
    </row>
    <row r="3" spans="1:9" x14ac:dyDescent="0.2">
      <c r="A3" s="6" t="str">
        <v>Морозова Е.Н.</v>
      </c>
      <c r="B3" t="str">
        <f>_xlfn.XLOOKUP(A3,Данные!A:A,Данные!B:B,"")</f>
        <v>Отдел Б</v>
      </c>
      <c r="C3">
        <f>_xlfn.XLOOKUP(A3,Данные!A:A,Данные!C:C,0)</f>
        <v>540000</v>
      </c>
      <c r="D3">
        <f>SUMIFS(Данные!K:K,Данные!A:A,A3)</f>
        <v>1060609</v>
      </c>
      <c r="E3" s="16">
        <f t="shared" ref="E3:E16" si="0">IFERROR(D3/C3,0)</f>
        <v>1.9640907407407406</v>
      </c>
      <c r="F3">
        <f>COUNTIF(Данные!A:A,A3)</f>
        <v>6</v>
      </c>
      <c r="G3" s="14">
        <f t="shared" ref="G3:G16" si="1">IFERROR(D3/F3,0)</f>
        <v>176768.16666666666</v>
      </c>
      <c r="H3">
        <f t="shared" ref="H3:H16" si="2">RANK(D3,D$2:D$16,0)</f>
        <v>8</v>
      </c>
      <c r="I3" t="str">
        <f t="shared" ref="I3:I16" si="3">IF(E3&gt;=1,"Выполнен","Не выполнен")</f>
        <v>Выполнен</v>
      </c>
    </row>
    <row r="4" spans="1:9" x14ac:dyDescent="0.2">
      <c r="A4" s="2" t="str">
        <v>Попова Н.А.</v>
      </c>
      <c r="B4" t="str">
        <f>_xlfn.XLOOKUP(A4,Данные!A:A,Данные!B:B,"")</f>
        <v>Отдел В</v>
      </c>
      <c r="C4">
        <f>_xlfn.XLOOKUP(A4,Данные!A:A,Данные!C:C,0)</f>
        <v>370000</v>
      </c>
      <c r="D4">
        <f>SUMIFS(Данные!K:K,Данные!A:A,A4)</f>
        <v>817254</v>
      </c>
      <c r="E4" s="16">
        <f t="shared" si="0"/>
        <v>2.2087945945945946</v>
      </c>
      <c r="F4">
        <f>COUNTIF(Данные!A:A,A4)</f>
        <v>9</v>
      </c>
      <c r="G4" s="14">
        <f t="shared" si="1"/>
        <v>90806</v>
      </c>
      <c r="H4">
        <f t="shared" si="2"/>
        <v>9</v>
      </c>
      <c r="I4" t="str">
        <f t="shared" si="3"/>
        <v>Выполнен</v>
      </c>
    </row>
    <row r="5" spans="1:9" x14ac:dyDescent="0.2">
      <c r="A5" s="6" t="str">
        <v>Новиков А.В.</v>
      </c>
      <c r="B5" t="str">
        <f>_xlfn.XLOOKUP(A5,Данные!A:A,Данные!B:B,"")</f>
        <v>Отдел А</v>
      </c>
      <c r="C5">
        <f>_xlfn.XLOOKUP(A5,Данные!A:A,Данные!C:C,0)</f>
        <v>610000</v>
      </c>
      <c r="D5">
        <f>SUMIFS(Данные!K:K,Данные!A:A,A5)</f>
        <v>370624</v>
      </c>
      <c r="E5" s="16">
        <f t="shared" si="0"/>
        <v>0.60758032786885241</v>
      </c>
      <c r="F5">
        <f>COUNTIF(Данные!A:A,A5)</f>
        <v>7</v>
      </c>
      <c r="G5" s="14">
        <f t="shared" si="1"/>
        <v>52946.285714285717</v>
      </c>
      <c r="H5">
        <f t="shared" si="2"/>
        <v>13</v>
      </c>
      <c r="I5" t="str">
        <f t="shared" si="3"/>
        <v>Не выполнен</v>
      </c>
    </row>
    <row r="6" spans="1:9" x14ac:dyDescent="0.2">
      <c r="A6" s="2" t="str">
        <v>Козлова М.Д.</v>
      </c>
      <c r="B6" t="str">
        <f>_xlfn.XLOOKUP(A6,Данные!A:A,Данные!B:B,"")</f>
        <v>Отдел Г</v>
      </c>
      <c r="C6">
        <f>_xlfn.XLOOKUP(A6,Данные!A:A,Данные!C:C,0)</f>
        <v>390000</v>
      </c>
      <c r="D6">
        <f>SUMIFS(Данные!K:K,Данные!A:A,A6)</f>
        <v>263338</v>
      </c>
      <c r="E6" s="16">
        <f t="shared" si="0"/>
        <v>0.67522564102564098</v>
      </c>
      <c r="F6">
        <f>COUNTIF(Данные!A:A,A6)</f>
        <v>4</v>
      </c>
      <c r="G6" s="14">
        <f t="shared" si="1"/>
        <v>65834.5</v>
      </c>
      <c r="H6">
        <f t="shared" si="2"/>
        <v>14</v>
      </c>
      <c r="I6" t="str">
        <f>IF(E6&gt;=1,"Выполнен","Не выполнен")</f>
        <v>Не выполнен</v>
      </c>
    </row>
    <row r="7" spans="1:9" x14ac:dyDescent="0.2">
      <c r="A7" s="6" t="str">
        <v>Сидоров П.А.</v>
      </c>
      <c r="B7" t="str">
        <f>_xlfn.XLOOKUP(A7,Данные!A:A,Данные!B:B,"")</f>
        <v>Отдел А</v>
      </c>
      <c r="C7">
        <f>_xlfn.XLOOKUP(A7,Данные!A:A,Данные!C:C,0)</f>
        <v>430000</v>
      </c>
      <c r="D7">
        <f>SUMIFS(Данные!K:K,Данные!A:A,A7)</f>
        <v>1135842</v>
      </c>
      <c r="E7" s="16">
        <f t="shared" si="0"/>
        <v>2.6414930232558138</v>
      </c>
      <c r="F7">
        <f>COUNTIF(Данные!A:A,A7)</f>
        <v>8</v>
      </c>
      <c r="G7" s="14">
        <f t="shared" si="1"/>
        <v>141980.25</v>
      </c>
      <c r="H7">
        <f t="shared" si="2"/>
        <v>7</v>
      </c>
      <c r="I7" t="str">
        <f t="shared" si="3"/>
        <v>Выполнен</v>
      </c>
    </row>
    <row r="8" spans="1:9" x14ac:dyDescent="0.2">
      <c r="A8" s="6" t="str">
        <v>Соколов А.П.</v>
      </c>
      <c r="B8" t="str">
        <f>_xlfn.XLOOKUP(A8,Данные!A:A,Данные!B:B,"")</f>
        <v>Отдел Б</v>
      </c>
      <c r="C8">
        <f>_xlfn.XLOOKUP(A8,Данные!A:A,Данные!C:C,0)</f>
        <v>630000</v>
      </c>
      <c r="D8">
        <f>SUMIFS(Данные!K:K,Данные!A:A,A8)</f>
        <v>1652175</v>
      </c>
      <c r="E8" s="16">
        <f t="shared" si="0"/>
        <v>2.6225000000000001</v>
      </c>
      <c r="F8">
        <f>COUNTIF(Данные!A:A,A8)</f>
        <v>8</v>
      </c>
      <c r="G8" s="14">
        <f t="shared" si="1"/>
        <v>206521.875</v>
      </c>
      <c r="H8">
        <f t="shared" si="2"/>
        <v>1</v>
      </c>
      <c r="I8" t="str">
        <f t="shared" si="3"/>
        <v>Выполнен</v>
      </c>
    </row>
    <row r="9" spans="1:9" x14ac:dyDescent="0.2">
      <c r="A9" s="2" t="str">
        <v>Григорьев С.П.</v>
      </c>
      <c r="B9" t="str">
        <f>_xlfn.XLOOKUP(A9,Данные!A:A,Данные!B:B,"")</f>
        <v>Отдел В</v>
      </c>
      <c r="C9">
        <f>_xlfn.XLOOKUP(A9,Данные!A:A,Данные!C:C,0)</f>
        <v>510000</v>
      </c>
      <c r="D9">
        <f>SUMIFS(Данные!K:K,Данные!A:A,A9)</f>
        <v>1361151</v>
      </c>
      <c r="E9" s="16">
        <f t="shared" si="0"/>
        <v>2.6689235294117646</v>
      </c>
      <c r="F9">
        <f>COUNTIF(Данные!A:A,A9)</f>
        <v>7</v>
      </c>
      <c r="G9" s="14">
        <f t="shared" si="1"/>
        <v>194450.14285714287</v>
      </c>
      <c r="H9">
        <f t="shared" si="2"/>
        <v>5</v>
      </c>
      <c r="I9" t="str">
        <f t="shared" si="3"/>
        <v>Выполнен</v>
      </c>
    </row>
    <row r="10" spans="1:9" x14ac:dyDescent="0.2">
      <c r="A10" s="2" t="str">
        <v>Петрова А.С.</v>
      </c>
      <c r="B10" t="str">
        <f>_xlfn.XLOOKUP(A10,Данные!A:A,Данные!B:B,"")</f>
        <v>Отдел Б</v>
      </c>
      <c r="C10">
        <f>_xlfn.XLOOKUP(A10,Данные!A:A,Данные!C:C,0)</f>
        <v>680000</v>
      </c>
      <c r="D10">
        <f>SUMIFS(Данные!K:K,Данные!A:A,A10)</f>
        <v>158552</v>
      </c>
      <c r="E10" s="16">
        <f t="shared" si="0"/>
        <v>0.23316470588235294</v>
      </c>
      <c r="F10">
        <f>COUNTIF(Данные!A:A,A10)</f>
        <v>4</v>
      </c>
      <c r="G10" s="14">
        <f t="shared" si="1"/>
        <v>39638</v>
      </c>
      <c r="H10">
        <f t="shared" si="2"/>
        <v>15</v>
      </c>
      <c r="I10" t="str">
        <f t="shared" si="3"/>
        <v>Не выполнен</v>
      </c>
    </row>
    <row r="11" spans="1:9" x14ac:dyDescent="0.2">
      <c r="A11" s="2" t="str">
        <v>Федорова И.М.</v>
      </c>
      <c r="B11" t="str">
        <f>_xlfn.XLOOKUP(A11,Данные!A:A,Данные!B:B,"")</f>
        <v>Отдел Г</v>
      </c>
      <c r="C11">
        <f>_xlfn.XLOOKUP(A11,Данные!A:A,Данные!C:C,0)</f>
        <v>420000</v>
      </c>
      <c r="D11">
        <f>SUMIFS(Данные!K:K,Данные!A:A,A11)</f>
        <v>1610247</v>
      </c>
      <c r="E11" s="16">
        <f t="shared" si="0"/>
        <v>3.8339214285714287</v>
      </c>
      <c r="F11">
        <f>COUNTIF(Данные!A:A,A11)</f>
        <v>8</v>
      </c>
      <c r="G11" s="14">
        <f t="shared" si="1"/>
        <v>201280.875</v>
      </c>
      <c r="H11">
        <f t="shared" si="2"/>
        <v>2</v>
      </c>
      <c r="I11" t="str">
        <f t="shared" si="3"/>
        <v>Выполнен</v>
      </c>
    </row>
    <row r="12" spans="1:9" x14ac:dyDescent="0.2">
      <c r="A12" s="2" t="str">
        <v>Орлов В.С.</v>
      </c>
      <c r="B12" t="str">
        <f>_xlfn.XLOOKUP(A12,Данные!A:A,Данные!B:B,"")</f>
        <v>Отдел Б</v>
      </c>
      <c r="C12">
        <f>_xlfn.XLOOKUP(A12,Данные!A:A,Данные!C:C,0)</f>
        <v>580000</v>
      </c>
      <c r="D12">
        <f>SUMIFS(Данные!K:K,Данные!A:A,A12)</f>
        <v>1169169</v>
      </c>
      <c r="E12" s="16">
        <f t="shared" si="0"/>
        <v>2.0158086206896551</v>
      </c>
      <c r="F12">
        <f>COUNTIF(Данные!A:A,A12)</f>
        <v>9</v>
      </c>
      <c r="G12" s="14">
        <f t="shared" si="1"/>
        <v>129907.66666666667</v>
      </c>
      <c r="H12">
        <f t="shared" si="2"/>
        <v>6</v>
      </c>
      <c r="I12" t="str">
        <f t="shared" si="3"/>
        <v>Выполнен</v>
      </c>
    </row>
    <row r="13" spans="1:9" x14ac:dyDescent="0.2">
      <c r="A13" s="2" t="str">
        <v>Волков Д.А.</v>
      </c>
      <c r="B13" t="str">
        <f>_xlfn.XLOOKUP(A13,Данные!A:A,Данные!B:B,"")</f>
        <v>Отдел В</v>
      </c>
      <c r="C13">
        <f>_xlfn.XLOOKUP(A13,Данные!A:A,Данные!C:C,0)</f>
        <v>470000</v>
      </c>
      <c r="D13">
        <f>SUMIFS(Данные!K:K,Данные!A:A,A13)</f>
        <v>1366957</v>
      </c>
      <c r="E13" s="16">
        <f t="shared" si="0"/>
        <v>2.9084191489361704</v>
      </c>
      <c r="F13">
        <f>COUNTIF(Данные!A:A,A13)</f>
        <v>4</v>
      </c>
      <c r="G13" s="14">
        <f t="shared" si="1"/>
        <v>341739.25</v>
      </c>
      <c r="H13">
        <f t="shared" si="2"/>
        <v>4</v>
      </c>
      <c r="I13" t="str">
        <f t="shared" si="3"/>
        <v>Выполнен</v>
      </c>
    </row>
    <row r="14" spans="1:9" x14ac:dyDescent="0.2">
      <c r="A14" s="6" t="str">
        <v>Лебедева О.И.</v>
      </c>
      <c r="B14" t="str">
        <f>_xlfn.XLOOKUP(A14,Данные!A:A,Данные!B:B,"")</f>
        <v>Отдел Г</v>
      </c>
      <c r="C14">
        <f>_xlfn.XLOOKUP(A14,Данные!A:A,Данные!C:C,0)</f>
        <v>410000</v>
      </c>
      <c r="D14">
        <f>SUMIFS(Данные!K:K,Данные!A:A,A14)</f>
        <v>1379330</v>
      </c>
      <c r="E14" s="16">
        <f t="shared" si="0"/>
        <v>3.3642195121951222</v>
      </c>
      <c r="F14">
        <f>COUNTIF(Данные!A:A,A14)</f>
        <v>7</v>
      </c>
      <c r="G14" s="14">
        <f t="shared" si="1"/>
        <v>197047.14285714287</v>
      </c>
      <c r="H14">
        <f t="shared" si="2"/>
        <v>3</v>
      </c>
      <c r="I14" t="str">
        <f t="shared" si="3"/>
        <v>Выполнен</v>
      </c>
    </row>
    <row r="15" spans="1:9" x14ac:dyDescent="0.2">
      <c r="A15" s="2" t="str">
        <v>Семенова Т.В.</v>
      </c>
      <c r="B15" t="str">
        <f>_xlfn.XLOOKUP(A15,Данные!A:A,Данные!B:B,"")</f>
        <v>Отдел В</v>
      </c>
      <c r="C15">
        <f>_xlfn.XLOOKUP(A15,Данные!A:A,Данные!C:C,0)</f>
        <v>450000</v>
      </c>
      <c r="D15">
        <f>SUMIFS(Данные!K:K,Данные!A:A,A15)</f>
        <v>425530</v>
      </c>
      <c r="E15" s="16">
        <f t="shared" si="0"/>
        <v>0.94562222222222225</v>
      </c>
      <c r="F15">
        <f>COUNTIF(Данные!A:A,A15)</f>
        <v>7</v>
      </c>
      <c r="G15" s="14">
        <f t="shared" si="1"/>
        <v>60790</v>
      </c>
      <c r="H15">
        <f t="shared" si="2"/>
        <v>11</v>
      </c>
      <c r="I15" t="str">
        <f t="shared" si="3"/>
        <v>Не выполнен</v>
      </c>
    </row>
    <row r="16" spans="1:9" x14ac:dyDescent="0.2">
      <c r="A16" s="2" t="str">
        <v>Зайцев М.Ю.</v>
      </c>
      <c r="B16" t="str">
        <f>_xlfn.XLOOKUP(A16,Данные!A:A,Данные!B:B,"")</f>
        <v>Отдел А</v>
      </c>
      <c r="C16">
        <f>_xlfn.XLOOKUP(A16,Данные!A:A,Данные!C:C,0)</f>
        <v>490000</v>
      </c>
      <c r="D16">
        <f>SUMIFS(Данные!K:K,Данные!A:A,A16)</f>
        <v>403200</v>
      </c>
      <c r="E16" s="16">
        <f t="shared" si="0"/>
        <v>0.82285714285714284</v>
      </c>
      <c r="F16">
        <f>COUNTIF(Данные!A:A,A16)</f>
        <v>4</v>
      </c>
      <c r="G16" s="14">
        <f t="shared" si="1"/>
        <v>100800</v>
      </c>
      <c r="H16">
        <f t="shared" si="2"/>
        <v>12</v>
      </c>
      <c r="I16" t="str">
        <f t="shared" si="3"/>
        <v>Не выполнен</v>
      </c>
    </row>
  </sheetData>
  <conditionalFormatting sqref="E2:E16">
    <cfRule type="cellIs" dxfId="1" priority="1" operator="lessThan">
      <formula>0.8</formula>
    </cfRule>
    <cfRule type="cellIs" dxfId="0" priority="2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391D-CBF5-CA4B-95D7-85797FEE1821}">
  <dimension ref="A1:I48"/>
  <sheetViews>
    <sheetView tabSelected="1" workbookViewId="0">
      <selection activeCell="L46" sqref="L46"/>
    </sheetView>
  </sheetViews>
  <sheetFormatPr baseColWidth="10" defaultRowHeight="15" x14ac:dyDescent="0.2"/>
  <cols>
    <col min="1" max="1" width="23.33203125" bestFit="1" customWidth="1"/>
    <col min="2" max="2" width="20" customWidth="1"/>
    <col min="3" max="3" width="14" customWidth="1"/>
    <col min="4" max="4" width="16.33203125" customWidth="1"/>
    <col min="7" max="7" width="1.33203125" customWidth="1"/>
    <col min="8" max="8" width="0.6640625" hidden="1" customWidth="1"/>
    <col min="9" max="9" width="1.33203125" customWidth="1"/>
  </cols>
  <sheetData>
    <row r="1" spans="1:9" ht="30" customHeight="1" x14ac:dyDescent="0.25">
      <c r="A1" s="17" t="s">
        <v>78</v>
      </c>
      <c r="B1" s="18"/>
      <c r="C1" s="18"/>
      <c r="D1" s="18"/>
      <c r="E1" s="18"/>
      <c r="F1" s="18"/>
      <c r="G1" s="18"/>
      <c r="H1" s="18"/>
      <c r="I1" s="18"/>
    </row>
    <row r="2" spans="1:9" ht="16" customHeight="1" x14ac:dyDescent="0.2">
      <c r="A2" s="20" t="s">
        <v>79</v>
      </c>
      <c r="B2" s="20"/>
      <c r="C2" s="20"/>
      <c r="D2" s="20"/>
      <c r="E2" s="20"/>
      <c r="F2" s="20"/>
      <c r="G2" s="20"/>
      <c r="H2" s="20"/>
      <c r="I2" s="20"/>
    </row>
    <row r="3" spans="1:9" ht="8" customHeight="1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20" customHeight="1" x14ac:dyDescent="0.2">
      <c r="A4" s="21" t="s">
        <v>80</v>
      </c>
      <c r="B4" s="21"/>
      <c r="C4" s="21"/>
      <c r="D4" s="21"/>
      <c r="E4" s="21"/>
      <c r="F4" s="21"/>
      <c r="G4" s="21"/>
      <c r="H4" s="21"/>
      <c r="I4" s="21"/>
    </row>
    <row r="5" spans="1:9" x14ac:dyDescent="0.2">
      <c r="A5" t="s">
        <v>81</v>
      </c>
      <c r="B5" s="12">
        <f>Анализ_отделы!B8</f>
        <v>13723430</v>
      </c>
    </row>
    <row r="6" spans="1:9" x14ac:dyDescent="0.2">
      <c r="A6" t="s">
        <v>57</v>
      </c>
      <c r="B6">
        <f>98</f>
        <v>98</v>
      </c>
    </row>
    <row r="7" spans="1:9" x14ac:dyDescent="0.2">
      <c r="A7" t="s">
        <v>58</v>
      </c>
      <c r="B7" s="12">
        <f>B5/B6</f>
        <v>140035</v>
      </c>
    </row>
    <row r="8" spans="1:9" x14ac:dyDescent="0.2">
      <c r="A8" t="s">
        <v>82</v>
      </c>
      <c r="B8" s="16">
        <f>AVERAGE(Рейтинг_менеджеров!E2:E16)*100</f>
        <v>190.46172733193308</v>
      </c>
    </row>
    <row r="9" spans="1:9" ht="8" customHeight="1" x14ac:dyDescent="0.2">
      <c r="A9" s="19"/>
      <c r="B9" s="19"/>
      <c r="C9" s="19"/>
      <c r="D9" s="19"/>
      <c r="E9" s="19"/>
      <c r="F9" s="19"/>
      <c r="G9" s="19"/>
      <c r="H9" s="19"/>
      <c r="I9" s="19"/>
    </row>
    <row r="10" spans="1:9" ht="20" customHeight="1" x14ac:dyDescent="0.2">
      <c r="A10" s="21" t="s">
        <v>83</v>
      </c>
      <c r="B10" s="21"/>
      <c r="C10" s="21"/>
      <c r="D10" s="21"/>
      <c r="E10" s="21"/>
      <c r="F10" s="21"/>
      <c r="G10" s="21"/>
      <c r="H10" s="21"/>
      <c r="I10" s="21"/>
    </row>
    <row r="11" spans="1:9" x14ac:dyDescent="0.2">
      <c r="A11" s="23" t="s">
        <v>1</v>
      </c>
      <c r="B11" s="23" t="s">
        <v>56</v>
      </c>
      <c r="C11" s="23" t="s">
        <v>59</v>
      </c>
      <c r="D11" s="23" t="s">
        <v>57</v>
      </c>
      <c r="E11" s="23" t="s">
        <v>58</v>
      </c>
    </row>
    <row r="12" spans="1:9" x14ac:dyDescent="0.2">
      <c r="A12" t="str">
        <f>Анализ_отделы!A4</f>
        <v>Отдел А</v>
      </c>
      <c r="B12" s="12">
        <f>Анализ_отделы!B4</f>
        <v>2459118</v>
      </c>
      <c r="C12" s="13">
        <f>B12/13723430</f>
        <v>0.17919120802889657</v>
      </c>
      <c r="D12">
        <f>Анализ_отделы!C4</f>
        <v>25</v>
      </c>
      <c r="E12" s="14">
        <f>Анализ_отделы!D4</f>
        <v>98364.72</v>
      </c>
    </row>
    <row r="13" spans="1:9" x14ac:dyDescent="0.2">
      <c r="A13" t="str">
        <f>Анализ_отделы!A5</f>
        <v>Отдел Б</v>
      </c>
      <c r="B13" s="12">
        <f>Анализ_отделы!B5</f>
        <v>4040505</v>
      </c>
      <c r="C13" s="13">
        <f t="shared" ref="C13:C15" si="0">B13/13723430</f>
        <v>0.29442384301883712</v>
      </c>
      <c r="D13">
        <f>Анализ_отделы!C5</f>
        <v>27</v>
      </c>
      <c r="E13" s="14">
        <f>Анализ_отделы!D5</f>
        <v>149648.33333333334</v>
      </c>
    </row>
    <row r="14" spans="1:9" x14ac:dyDescent="0.2">
      <c r="A14" t="str">
        <f>Анализ_отделы!A6</f>
        <v>Отдел В</v>
      </c>
      <c r="B14" s="12">
        <f>Анализ_отделы!B6</f>
        <v>3970892</v>
      </c>
      <c r="C14" s="13">
        <f t="shared" si="0"/>
        <v>0.28935127734101462</v>
      </c>
      <c r="D14">
        <f>Анализ_отделы!C6</f>
        <v>27</v>
      </c>
      <c r="E14" s="14">
        <f>Анализ_отделы!D6</f>
        <v>147070.07407407407</v>
      </c>
    </row>
    <row r="15" spans="1:9" x14ac:dyDescent="0.2">
      <c r="A15" t="str">
        <f>Анализ_отделы!A7</f>
        <v>Отдел Г</v>
      </c>
      <c r="B15" s="12">
        <f>Анализ_отделы!B7</f>
        <v>3252915</v>
      </c>
      <c r="C15" s="13">
        <f t="shared" si="0"/>
        <v>0.23703367161125172</v>
      </c>
      <c r="D15">
        <f>Анализ_отделы!C7</f>
        <v>19</v>
      </c>
      <c r="E15" s="14">
        <f>Анализ_отделы!D7</f>
        <v>171206.05263157896</v>
      </c>
    </row>
    <row r="16" spans="1:9" x14ac:dyDescent="0.2">
      <c r="A16" s="15" t="s">
        <v>84</v>
      </c>
      <c r="B16" s="24">
        <f>SUM(B12:B15)</f>
        <v>13723430</v>
      </c>
      <c r="C16" s="26">
        <v>1</v>
      </c>
      <c r="D16" s="15">
        <f>SUM(D12:D15)</f>
        <v>98</v>
      </c>
      <c r="E16" s="25">
        <f>AVERAGE(E12:E15)</f>
        <v>141572.29500974659</v>
      </c>
    </row>
    <row r="17" spans="1:9" ht="8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20" customHeight="1" x14ac:dyDescent="0.2">
      <c r="A18" s="21" t="s">
        <v>85</v>
      </c>
      <c r="B18" s="21"/>
      <c r="C18" s="21"/>
      <c r="D18" s="21"/>
      <c r="E18" s="21"/>
      <c r="F18" s="21"/>
      <c r="G18" s="21"/>
      <c r="H18" s="21"/>
      <c r="I18" s="21"/>
    </row>
    <row r="19" spans="1:9" x14ac:dyDescent="0.2">
      <c r="A19" t="s">
        <v>4</v>
      </c>
      <c r="B19" t="s">
        <v>56</v>
      </c>
    </row>
    <row r="20" spans="1:9" x14ac:dyDescent="0.2">
      <c r="A20" t="str">
        <f>Анализ_динамика!A4</f>
        <v>янв</v>
      </c>
      <c r="B20" s="12">
        <f>Анализ_динамика!B4</f>
        <v>1006796</v>
      </c>
    </row>
    <row r="21" spans="1:9" x14ac:dyDescent="0.2">
      <c r="A21" t="str">
        <f>Анализ_динамика!A5</f>
        <v>февр</v>
      </c>
      <c r="B21" s="12">
        <f>Анализ_динамика!B5</f>
        <v>1230579</v>
      </c>
    </row>
    <row r="22" spans="1:9" x14ac:dyDescent="0.2">
      <c r="A22" t="str">
        <f>Анализ_динамика!A6</f>
        <v>март</v>
      </c>
      <c r="B22" s="12">
        <f>Анализ_динамика!B6</f>
        <v>1316880</v>
      </c>
    </row>
    <row r="23" spans="1:9" x14ac:dyDescent="0.2">
      <c r="A23" t="str">
        <f>Анализ_динамика!A7</f>
        <v>апр</v>
      </c>
      <c r="B23" s="12">
        <f>Анализ_динамика!B7</f>
        <v>163355</v>
      </c>
    </row>
    <row r="24" spans="1:9" x14ac:dyDescent="0.2">
      <c r="A24" t="str">
        <f>Анализ_динамика!A8</f>
        <v>май</v>
      </c>
      <c r="B24" s="12">
        <f>Анализ_динамика!B8</f>
        <v>1009776</v>
      </c>
    </row>
    <row r="25" spans="1:9" x14ac:dyDescent="0.2">
      <c r="A25" t="str">
        <f>Анализ_динамика!A9</f>
        <v>июнь</v>
      </c>
      <c r="B25" s="12">
        <f>Анализ_динамика!B9</f>
        <v>1467519</v>
      </c>
    </row>
    <row r="26" spans="1:9" x14ac:dyDescent="0.2">
      <c r="A26" t="str">
        <f>Анализ_динамика!A10</f>
        <v>июль</v>
      </c>
      <c r="B26" s="12">
        <f>Анализ_динамика!B10</f>
        <v>748505</v>
      </c>
    </row>
    <row r="27" spans="1:9" x14ac:dyDescent="0.2">
      <c r="A27" t="str">
        <f>Анализ_динамика!A11</f>
        <v>авг</v>
      </c>
      <c r="B27" s="12">
        <f>Анализ_динамика!B11</f>
        <v>2718567</v>
      </c>
    </row>
    <row r="28" spans="1:9" x14ac:dyDescent="0.2">
      <c r="A28" t="str">
        <f>Анализ_динамика!A12</f>
        <v>сент</v>
      </c>
      <c r="B28" s="12">
        <f>Анализ_динамика!B12</f>
        <v>1478769</v>
      </c>
    </row>
    <row r="29" spans="1:9" x14ac:dyDescent="0.2">
      <c r="A29" t="str">
        <f>Анализ_динамика!A13</f>
        <v>окт</v>
      </c>
      <c r="B29" s="12">
        <f>Анализ_динамика!B13</f>
        <v>1011544</v>
      </c>
    </row>
    <row r="30" spans="1:9" x14ac:dyDescent="0.2">
      <c r="A30" t="str">
        <f>Анализ_динамика!A14</f>
        <v>нояб</v>
      </c>
      <c r="B30" s="12">
        <f>Анализ_динамика!B14</f>
        <v>901740</v>
      </c>
    </row>
    <row r="31" spans="1:9" x14ac:dyDescent="0.2">
      <c r="A31" t="str">
        <f>Анализ_динамика!A15</f>
        <v>дек</v>
      </c>
      <c r="B31" s="12">
        <f>Анализ_динамика!B15</f>
        <v>669400</v>
      </c>
    </row>
    <row r="32" spans="1:9" x14ac:dyDescent="0.2">
      <c r="A32" s="15" t="s">
        <v>84</v>
      </c>
      <c r="B32" s="24">
        <f>SUM(B20:B31)</f>
        <v>13723430</v>
      </c>
    </row>
    <row r="33" spans="1:9" ht="8" customHeight="1" x14ac:dyDescent="0.2">
      <c r="A33" s="19"/>
      <c r="B33" s="19"/>
      <c r="C33" s="19"/>
      <c r="D33" s="19"/>
      <c r="E33" s="19"/>
      <c r="F33" s="19"/>
      <c r="G33" s="19"/>
      <c r="H33" s="19"/>
      <c r="I33" s="19"/>
    </row>
    <row r="34" spans="1:9" ht="20" customHeight="1" x14ac:dyDescent="0.2">
      <c r="A34" s="21" t="s">
        <v>86</v>
      </c>
      <c r="B34" s="21"/>
      <c r="C34" s="21"/>
      <c r="D34" s="21"/>
      <c r="E34" s="21"/>
      <c r="F34" s="21"/>
      <c r="G34" s="21"/>
      <c r="H34" s="21"/>
      <c r="I34" s="21"/>
    </row>
    <row r="35" spans="1:9" x14ac:dyDescent="0.2">
      <c r="A35" t="s">
        <v>72</v>
      </c>
      <c r="B35" t="s">
        <v>1</v>
      </c>
      <c r="C35" t="s">
        <v>87</v>
      </c>
      <c r="D35" t="s">
        <v>74</v>
      </c>
      <c r="E35" t="s">
        <v>76</v>
      </c>
    </row>
    <row r="36" spans="1:9" ht="16" x14ac:dyDescent="0.25">
      <c r="A36" s="27" t="str">
        <f>Рейтинг_менеджеров!A8</f>
        <v>Соколов А.П.</v>
      </c>
      <c r="B36" t="str">
        <f>Рейтинг_менеджеров!B8</f>
        <v>Отдел Б</v>
      </c>
      <c r="C36">
        <f>Рейтинг_менеджеров!D8</f>
        <v>1652175</v>
      </c>
      <c r="D36" s="22">
        <f>Рейтинг_менеджеров!E8</f>
        <v>2.6225000000000001</v>
      </c>
      <c r="E36">
        <f>Рейтинг_менеджеров!H8</f>
        <v>1</v>
      </c>
    </row>
    <row r="37" spans="1:9" x14ac:dyDescent="0.2">
      <c r="A37" t="str">
        <f>Рейтинг_менеджеров!A10</f>
        <v>Петрова А.С.</v>
      </c>
      <c r="B37" t="str">
        <f>Рейтинг_менеджеров!B10</f>
        <v>Отдел Б</v>
      </c>
      <c r="C37">
        <f>Рейтинг_менеджеров!D10</f>
        <v>158552</v>
      </c>
      <c r="D37" s="22">
        <f>Рейтинг_менеджеров!E10</f>
        <v>0.23316470588235294</v>
      </c>
      <c r="E37">
        <f>Рейтинг_менеджеров!H10</f>
        <v>15</v>
      </c>
    </row>
    <row r="38" spans="1:9" ht="8" customHeight="1" x14ac:dyDescent="0.2">
      <c r="A38" s="19"/>
      <c r="B38" s="19"/>
      <c r="C38" s="19"/>
      <c r="D38" s="19"/>
      <c r="E38" s="19"/>
      <c r="F38" s="19"/>
      <c r="G38" s="19"/>
      <c r="H38" s="19"/>
      <c r="I38" s="19"/>
    </row>
    <row r="39" spans="1:9" ht="20" customHeight="1" x14ac:dyDescent="0.2">
      <c r="A39" s="21" t="s">
        <v>88</v>
      </c>
      <c r="B39" s="21"/>
      <c r="C39" s="21"/>
      <c r="D39" s="21"/>
      <c r="E39" s="21"/>
      <c r="F39" s="21"/>
      <c r="G39" s="21"/>
      <c r="H39" s="21"/>
      <c r="I39" s="21"/>
    </row>
    <row r="40" spans="1:9" ht="30" customHeight="1" x14ac:dyDescent="0.2">
      <c r="A40" s="28" t="s">
        <v>89</v>
      </c>
      <c r="B40" s="28"/>
      <c r="C40" s="28"/>
      <c r="D40" s="28"/>
      <c r="E40" s="28"/>
      <c r="F40" s="28"/>
      <c r="G40" s="28"/>
      <c r="H40" s="28"/>
      <c r="I40" s="28"/>
    </row>
    <row r="41" spans="1:9" ht="30" customHeight="1" x14ac:dyDescent="0.2">
      <c r="A41" s="28" t="s">
        <v>90</v>
      </c>
      <c r="B41" s="28"/>
      <c r="C41" s="28"/>
      <c r="D41" s="28"/>
      <c r="E41" s="28"/>
      <c r="F41" s="28"/>
      <c r="G41" s="28"/>
      <c r="H41" s="28"/>
      <c r="I41" s="28"/>
    </row>
    <row r="42" spans="1:9" ht="30" customHeight="1" x14ac:dyDescent="0.2">
      <c r="A42" s="28" t="s">
        <v>91</v>
      </c>
      <c r="B42" s="28"/>
      <c r="C42" s="28"/>
      <c r="D42" s="28"/>
      <c r="E42" s="28"/>
      <c r="F42" s="28"/>
      <c r="G42" s="28"/>
      <c r="H42" s="28"/>
      <c r="I42" s="28"/>
    </row>
    <row r="43" spans="1:9" ht="30" customHeight="1" x14ac:dyDescent="0.2">
      <c r="A43" s="28" t="s">
        <v>92</v>
      </c>
      <c r="B43" s="28"/>
      <c r="C43" s="28"/>
      <c r="D43" s="28"/>
      <c r="E43" s="28"/>
      <c r="F43" s="28"/>
      <c r="G43" s="28"/>
      <c r="H43" s="28"/>
      <c r="I43" s="28"/>
    </row>
    <row r="44" spans="1:9" ht="8" customHeight="1" x14ac:dyDescent="0.2">
      <c r="A44" s="19"/>
      <c r="B44" s="19"/>
      <c r="C44" s="19"/>
      <c r="D44" s="19"/>
      <c r="E44" s="19"/>
      <c r="F44" s="19"/>
      <c r="G44" s="19"/>
      <c r="H44" s="19"/>
      <c r="I44" s="19"/>
    </row>
    <row r="45" spans="1:9" ht="20" customHeight="1" x14ac:dyDescent="0.2">
      <c r="A45" s="21" t="s">
        <v>93</v>
      </c>
      <c r="B45" s="21"/>
      <c r="C45" s="21"/>
      <c r="D45" s="21"/>
      <c r="E45" s="21"/>
      <c r="F45" s="21"/>
      <c r="G45" s="21"/>
      <c r="H45" s="21"/>
      <c r="I45" s="21"/>
    </row>
    <row r="46" spans="1:9" ht="30" customHeight="1" x14ac:dyDescent="0.2">
      <c r="A46" s="28" t="s">
        <v>94</v>
      </c>
      <c r="B46" s="28"/>
      <c r="C46" s="28"/>
      <c r="D46" s="28"/>
      <c r="E46" s="28"/>
      <c r="F46" s="28"/>
      <c r="G46" s="28"/>
      <c r="H46" s="28"/>
      <c r="I46" s="28"/>
    </row>
    <row r="47" spans="1:9" ht="30" customHeight="1" x14ac:dyDescent="0.2">
      <c r="A47" s="28" t="s">
        <v>95</v>
      </c>
      <c r="B47" s="28"/>
      <c r="C47" s="28"/>
      <c r="D47" s="28"/>
      <c r="E47" s="28"/>
      <c r="F47" s="28"/>
      <c r="G47" s="28"/>
      <c r="H47" s="28"/>
      <c r="I47" s="28"/>
    </row>
    <row r="48" spans="1:9" ht="30" customHeight="1" x14ac:dyDescent="0.2">
      <c r="A48" s="28" t="s">
        <v>96</v>
      </c>
      <c r="B48" s="28"/>
      <c r="C48" s="28"/>
      <c r="D48" s="28"/>
      <c r="E48" s="28"/>
      <c r="F48" s="28"/>
      <c r="G48" s="28"/>
      <c r="H48" s="28"/>
      <c r="I48" s="28"/>
    </row>
  </sheetData>
  <mergeCells count="21">
    <mergeCell ref="A46:I46"/>
    <mergeCell ref="A47:I47"/>
    <mergeCell ref="A48:I48"/>
    <mergeCell ref="A42:I42"/>
    <mergeCell ref="A43:I43"/>
    <mergeCell ref="A44:I44"/>
    <mergeCell ref="A45:I45"/>
    <mergeCell ref="A34:I34"/>
    <mergeCell ref="A38:I38"/>
    <mergeCell ref="A39:I39"/>
    <mergeCell ref="A40:I40"/>
    <mergeCell ref="A41:I41"/>
    <mergeCell ref="A10:I10"/>
    <mergeCell ref="A17:I17"/>
    <mergeCell ref="A18:I18"/>
    <mergeCell ref="A33:I33"/>
    <mergeCell ref="A1:I1"/>
    <mergeCell ref="A2:I2"/>
    <mergeCell ref="A4:I4"/>
    <mergeCell ref="A3:I3"/>
    <mergeCell ref="A9:I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workbookViewId="0">
      <selection activeCell="A30" sqref="A30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3" width="14" customWidth="1"/>
    <col min="4" max="5" width="12" customWidth="1"/>
    <col min="6" max="6" width="9" customWidth="1"/>
    <col min="7" max="8" width="13" customWidth="1"/>
    <col min="9" max="9" width="9" customWidth="1"/>
    <col min="10" max="10" width="13" customWidth="1"/>
    <col min="11" max="11" width="15" customWidth="1"/>
  </cols>
  <sheetData>
    <row r="1" spans="1:1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3">
        <v>520000</v>
      </c>
      <c r="D2" s="4">
        <v>45294</v>
      </c>
      <c r="E2" s="5" t="s">
        <v>13</v>
      </c>
      <c r="F2" s="5" t="s">
        <v>14</v>
      </c>
      <c r="G2" s="2" t="s">
        <v>15</v>
      </c>
      <c r="H2" s="2" t="s">
        <v>16</v>
      </c>
      <c r="I2" s="5">
        <v>4</v>
      </c>
      <c r="J2" s="3">
        <v>24497</v>
      </c>
      <c r="K2" s="3">
        <v>97988</v>
      </c>
    </row>
    <row r="3" spans="1:11" x14ac:dyDescent="0.2">
      <c r="A3" s="6" t="s">
        <v>17</v>
      </c>
      <c r="B3" s="6" t="s">
        <v>18</v>
      </c>
      <c r="C3" s="7">
        <v>540000</v>
      </c>
      <c r="D3" s="8">
        <v>45296</v>
      </c>
      <c r="E3" s="9" t="s">
        <v>13</v>
      </c>
      <c r="F3" s="9" t="s">
        <v>14</v>
      </c>
      <c r="G3" s="6" t="s">
        <v>15</v>
      </c>
      <c r="H3" s="6" t="s">
        <v>16</v>
      </c>
      <c r="I3" s="9">
        <v>6</v>
      </c>
      <c r="J3" s="7">
        <v>24785</v>
      </c>
      <c r="K3" s="7">
        <v>148710</v>
      </c>
    </row>
    <row r="4" spans="1:11" x14ac:dyDescent="0.2">
      <c r="A4" s="2" t="s">
        <v>19</v>
      </c>
      <c r="B4" s="2" t="s">
        <v>20</v>
      </c>
      <c r="C4" s="3">
        <v>370000</v>
      </c>
      <c r="D4" s="4">
        <v>45296</v>
      </c>
      <c r="E4" s="5" t="s">
        <v>13</v>
      </c>
      <c r="F4" s="5" t="s">
        <v>14</v>
      </c>
      <c r="G4" s="2" t="s">
        <v>21</v>
      </c>
      <c r="H4" s="2" t="s">
        <v>22</v>
      </c>
      <c r="I4" s="5">
        <v>3</v>
      </c>
      <c r="J4" s="3">
        <v>2965</v>
      </c>
      <c r="K4" s="3">
        <v>8895</v>
      </c>
    </row>
    <row r="5" spans="1:11" x14ac:dyDescent="0.2">
      <c r="A5" s="6" t="s">
        <v>23</v>
      </c>
      <c r="B5" s="6" t="s">
        <v>12</v>
      </c>
      <c r="C5" s="7">
        <v>610000</v>
      </c>
      <c r="D5" s="8">
        <v>45298</v>
      </c>
      <c r="E5" s="9" t="s">
        <v>13</v>
      </c>
      <c r="F5" s="9" t="s">
        <v>14</v>
      </c>
      <c r="G5" s="6" t="s">
        <v>24</v>
      </c>
      <c r="H5" s="6" t="s">
        <v>22</v>
      </c>
      <c r="I5" s="9">
        <v>4</v>
      </c>
      <c r="J5" s="7">
        <v>7438</v>
      </c>
      <c r="K5" s="7">
        <v>29752</v>
      </c>
    </row>
    <row r="6" spans="1:11" x14ac:dyDescent="0.2">
      <c r="A6" s="2" t="s">
        <v>17</v>
      </c>
      <c r="B6" s="2" t="s">
        <v>18</v>
      </c>
      <c r="C6" s="3">
        <v>540000</v>
      </c>
      <c r="D6" s="4">
        <v>45298</v>
      </c>
      <c r="E6" s="5" t="s">
        <v>13</v>
      </c>
      <c r="F6" s="5" t="s">
        <v>14</v>
      </c>
      <c r="G6" s="2" t="s">
        <v>25</v>
      </c>
      <c r="H6" s="2" t="s">
        <v>16</v>
      </c>
      <c r="I6" s="5">
        <v>8</v>
      </c>
      <c r="J6" s="3">
        <v>77062</v>
      </c>
      <c r="K6" s="3">
        <v>616496</v>
      </c>
    </row>
    <row r="7" spans="1:11" x14ac:dyDescent="0.2">
      <c r="A7" s="6" t="s">
        <v>23</v>
      </c>
      <c r="B7" s="6" t="s">
        <v>12</v>
      </c>
      <c r="C7" s="7">
        <v>610000</v>
      </c>
      <c r="D7" s="8">
        <v>45307</v>
      </c>
      <c r="E7" s="9" t="s">
        <v>13</v>
      </c>
      <c r="F7" s="9" t="s">
        <v>14</v>
      </c>
      <c r="G7" s="6" t="s">
        <v>24</v>
      </c>
      <c r="H7" s="6" t="s">
        <v>22</v>
      </c>
      <c r="I7" s="9">
        <v>5</v>
      </c>
      <c r="J7" s="7">
        <v>7667</v>
      </c>
      <c r="K7" s="7">
        <v>38335</v>
      </c>
    </row>
    <row r="8" spans="1:11" x14ac:dyDescent="0.2">
      <c r="A8" s="2" t="s">
        <v>26</v>
      </c>
      <c r="B8" s="2" t="s">
        <v>27</v>
      </c>
      <c r="C8" s="3">
        <v>390000</v>
      </c>
      <c r="D8" s="4">
        <v>45315</v>
      </c>
      <c r="E8" s="5" t="s">
        <v>13</v>
      </c>
      <c r="F8" s="5" t="s">
        <v>14</v>
      </c>
      <c r="G8" s="2" t="s">
        <v>28</v>
      </c>
      <c r="H8" s="2" t="s">
        <v>22</v>
      </c>
      <c r="I8" s="5">
        <v>8</v>
      </c>
      <c r="J8" s="3">
        <v>1294</v>
      </c>
      <c r="K8" s="3">
        <v>10352</v>
      </c>
    </row>
    <row r="9" spans="1:11" x14ac:dyDescent="0.2">
      <c r="A9" s="6" t="s">
        <v>29</v>
      </c>
      <c r="B9" s="6" t="s">
        <v>12</v>
      </c>
      <c r="C9" s="7">
        <v>430000</v>
      </c>
      <c r="D9" s="8">
        <v>45322</v>
      </c>
      <c r="E9" s="9" t="s">
        <v>13</v>
      </c>
      <c r="F9" s="9" t="s">
        <v>14</v>
      </c>
      <c r="G9" s="6" t="s">
        <v>28</v>
      </c>
      <c r="H9" s="6" t="s">
        <v>22</v>
      </c>
      <c r="I9" s="9">
        <v>6</v>
      </c>
      <c r="J9" s="7">
        <v>1264</v>
      </c>
      <c r="K9" s="7">
        <v>7584</v>
      </c>
    </row>
    <row r="10" spans="1:11" x14ac:dyDescent="0.2">
      <c r="A10" s="2" t="s">
        <v>26</v>
      </c>
      <c r="B10" s="2" t="s">
        <v>27</v>
      </c>
      <c r="C10" s="3">
        <v>390000</v>
      </c>
      <c r="D10" s="4">
        <v>45322</v>
      </c>
      <c r="E10" s="5" t="s">
        <v>13</v>
      </c>
      <c r="F10" s="5" t="s">
        <v>14</v>
      </c>
      <c r="G10" s="2" t="s">
        <v>15</v>
      </c>
      <c r="H10" s="2" t="s">
        <v>16</v>
      </c>
      <c r="I10" s="5">
        <v>2</v>
      </c>
      <c r="J10" s="3">
        <v>24342</v>
      </c>
      <c r="K10" s="3">
        <v>48684</v>
      </c>
    </row>
    <row r="11" spans="1:11" x14ac:dyDescent="0.2">
      <c r="A11" s="6" t="s">
        <v>23</v>
      </c>
      <c r="B11" s="6" t="s">
        <v>12</v>
      </c>
      <c r="C11" s="7">
        <v>610000</v>
      </c>
      <c r="D11" s="8">
        <v>45328</v>
      </c>
      <c r="E11" s="9" t="s">
        <v>30</v>
      </c>
      <c r="F11" s="9" t="s">
        <v>14</v>
      </c>
      <c r="G11" s="6" t="s">
        <v>31</v>
      </c>
      <c r="H11" s="6" t="s">
        <v>16</v>
      </c>
      <c r="I11" s="9">
        <v>4</v>
      </c>
      <c r="J11" s="7">
        <v>43599</v>
      </c>
      <c r="K11" s="7">
        <v>174396</v>
      </c>
    </row>
    <row r="12" spans="1:11" x14ac:dyDescent="0.2">
      <c r="A12" s="2" t="s">
        <v>32</v>
      </c>
      <c r="B12" s="2" t="s">
        <v>18</v>
      </c>
      <c r="C12" s="3">
        <v>630000</v>
      </c>
      <c r="D12" s="4">
        <v>45330</v>
      </c>
      <c r="E12" s="5" t="s">
        <v>30</v>
      </c>
      <c r="F12" s="5" t="s">
        <v>14</v>
      </c>
      <c r="G12" s="2" t="s">
        <v>25</v>
      </c>
      <c r="H12" s="2" t="s">
        <v>16</v>
      </c>
      <c r="I12" s="5">
        <v>4</v>
      </c>
      <c r="J12" s="3">
        <v>71492</v>
      </c>
      <c r="K12" s="3">
        <v>285968</v>
      </c>
    </row>
    <row r="13" spans="1:11" x14ac:dyDescent="0.2">
      <c r="A13" s="6" t="s">
        <v>26</v>
      </c>
      <c r="B13" s="6" t="s">
        <v>27</v>
      </c>
      <c r="C13" s="7">
        <v>390000</v>
      </c>
      <c r="D13" s="8">
        <v>45331</v>
      </c>
      <c r="E13" s="9" t="s">
        <v>30</v>
      </c>
      <c r="F13" s="9" t="s">
        <v>14</v>
      </c>
      <c r="G13" s="6" t="s">
        <v>15</v>
      </c>
      <c r="H13" s="6" t="s">
        <v>16</v>
      </c>
      <c r="I13" s="9">
        <v>2</v>
      </c>
      <c r="J13" s="7">
        <v>25186</v>
      </c>
      <c r="K13" s="7">
        <v>50372</v>
      </c>
    </row>
    <row r="14" spans="1:11" x14ac:dyDescent="0.2">
      <c r="A14" s="2" t="s">
        <v>33</v>
      </c>
      <c r="B14" s="2" t="s">
        <v>20</v>
      </c>
      <c r="C14" s="3">
        <v>510000</v>
      </c>
      <c r="D14" s="4">
        <v>45331</v>
      </c>
      <c r="E14" s="5" t="s">
        <v>30</v>
      </c>
      <c r="F14" s="5" t="s">
        <v>14</v>
      </c>
      <c r="G14" s="2" t="s">
        <v>25</v>
      </c>
      <c r="H14" s="2" t="s">
        <v>16</v>
      </c>
      <c r="I14" s="5">
        <v>5</v>
      </c>
      <c r="J14" s="3">
        <v>74488</v>
      </c>
      <c r="K14" s="3">
        <v>372440</v>
      </c>
    </row>
    <row r="15" spans="1:11" x14ac:dyDescent="0.2">
      <c r="A15" s="6" t="s">
        <v>11</v>
      </c>
      <c r="B15" s="6" t="s">
        <v>12</v>
      </c>
      <c r="C15" s="7">
        <v>520000</v>
      </c>
      <c r="D15" s="8">
        <v>45340</v>
      </c>
      <c r="E15" s="9" t="s">
        <v>30</v>
      </c>
      <c r="F15" s="9" t="s">
        <v>14</v>
      </c>
      <c r="G15" s="6" t="s">
        <v>15</v>
      </c>
      <c r="H15" s="6" t="s">
        <v>16</v>
      </c>
      <c r="I15" s="9">
        <v>2</v>
      </c>
      <c r="J15" s="7">
        <v>23611</v>
      </c>
      <c r="K15" s="7">
        <v>47222</v>
      </c>
    </row>
    <row r="16" spans="1:11" x14ac:dyDescent="0.2">
      <c r="A16" s="2" t="s">
        <v>34</v>
      </c>
      <c r="B16" s="2" t="s">
        <v>18</v>
      </c>
      <c r="C16" s="3">
        <v>680000</v>
      </c>
      <c r="D16" s="4">
        <v>45340</v>
      </c>
      <c r="E16" s="5" t="s">
        <v>30</v>
      </c>
      <c r="F16" s="5" t="s">
        <v>14</v>
      </c>
      <c r="G16" s="2" t="s">
        <v>28</v>
      </c>
      <c r="H16" s="2" t="s">
        <v>22</v>
      </c>
      <c r="I16" s="5">
        <v>1</v>
      </c>
      <c r="J16" s="3">
        <v>1262</v>
      </c>
      <c r="K16" s="3">
        <v>1262</v>
      </c>
    </row>
    <row r="17" spans="1:11" x14ac:dyDescent="0.2">
      <c r="A17" s="6" t="s">
        <v>33</v>
      </c>
      <c r="B17" s="6" t="s">
        <v>20</v>
      </c>
      <c r="C17" s="7">
        <v>510000</v>
      </c>
      <c r="D17" s="8">
        <v>45342</v>
      </c>
      <c r="E17" s="9" t="s">
        <v>30</v>
      </c>
      <c r="F17" s="9" t="s">
        <v>14</v>
      </c>
      <c r="G17" s="6" t="s">
        <v>24</v>
      </c>
      <c r="H17" s="6" t="s">
        <v>22</v>
      </c>
      <c r="I17" s="9">
        <v>5</v>
      </c>
      <c r="J17" s="7">
        <v>7389</v>
      </c>
      <c r="K17" s="7">
        <v>36945</v>
      </c>
    </row>
    <row r="18" spans="1:11" x14ac:dyDescent="0.2">
      <c r="A18" s="2" t="s">
        <v>35</v>
      </c>
      <c r="B18" s="2" t="s">
        <v>27</v>
      </c>
      <c r="C18" s="3">
        <v>420000</v>
      </c>
      <c r="D18" s="4">
        <v>45346</v>
      </c>
      <c r="E18" s="5" t="s">
        <v>30</v>
      </c>
      <c r="F18" s="5" t="s">
        <v>14</v>
      </c>
      <c r="G18" s="2" t="s">
        <v>36</v>
      </c>
      <c r="H18" s="2" t="s">
        <v>16</v>
      </c>
      <c r="I18" s="5">
        <v>8</v>
      </c>
      <c r="J18" s="3">
        <v>31604</v>
      </c>
      <c r="K18" s="3">
        <v>252832</v>
      </c>
    </row>
    <row r="19" spans="1:11" x14ac:dyDescent="0.2">
      <c r="A19" s="6" t="s">
        <v>19</v>
      </c>
      <c r="B19" s="6" t="s">
        <v>20</v>
      </c>
      <c r="C19" s="7">
        <v>370000</v>
      </c>
      <c r="D19" s="8">
        <v>45348</v>
      </c>
      <c r="E19" s="9" t="s">
        <v>30</v>
      </c>
      <c r="F19" s="9" t="s">
        <v>14</v>
      </c>
      <c r="G19" s="6" t="s">
        <v>28</v>
      </c>
      <c r="H19" s="6" t="s">
        <v>22</v>
      </c>
      <c r="I19" s="9">
        <v>7</v>
      </c>
      <c r="J19" s="7">
        <v>1306</v>
      </c>
      <c r="K19" s="7">
        <v>9142</v>
      </c>
    </row>
    <row r="20" spans="1:11" x14ac:dyDescent="0.2">
      <c r="A20" s="2" t="s">
        <v>35</v>
      </c>
      <c r="B20" s="2" t="s">
        <v>27</v>
      </c>
      <c r="C20" s="3">
        <v>420000</v>
      </c>
      <c r="D20" s="4">
        <v>45354</v>
      </c>
      <c r="E20" s="5" t="s">
        <v>37</v>
      </c>
      <c r="F20" s="5" t="s">
        <v>14</v>
      </c>
      <c r="G20" s="2" t="s">
        <v>36</v>
      </c>
      <c r="H20" s="2" t="s">
        <v>16</v>
      </c>
      <c r="I20" s="5">
        <v>3</v>
      </c>
      <c r="J20" s="3">
        <v>32442</v>
      </c>
      <c r="K20" s="3">
        <v>97326</v>
      </c>
    </row>
    <row r="21" spans="1:11" x14ac:dyDescent="0.2">
      <c r="A21" s="6" t="s">
        <v>33</v>
      </c>
      <c r="B21" s="6" t="s">
        <v>20</v>
      </c>
      <c r="C21" s="7">
        <v>510000</v>
      </c>
      <c r="D21" s="8">
        <v>45357</v>
      </c>
      <c r="E21" s="9" t="s">
        <v>37</v>
      </c>
      <c r="F21" s="9" t="s">
        <v>14</v>
      </c>
      <c r="G21" s="6" t="s">
        <v>36</v>
      </c>
      <c r="H21" s="6" t="s">
        <v>16</v>
      </c>
      <c r="I21" s="9">
        <v>4</v>
      </c>
      <c r="J21" s="7">
        <v>31707</v>
      </c>
      <c r="K21" s="7">
        <v>126828</v>
      </c>
    </row>
    <row r="22" spans="1:11" x14ac:dyDescent="0.2">
      <c r="A22" s="2" t="s">
        <v>38</v>
      </c>
      <c r="B22" s="2" t="s">
        <v>18</v>
      </c>
      <c r="C22" s="3">
        <v>580000</v>
      </c>
      <c r="D22" s="4">
        <v>45360</v>
      </c>
      <c r="E22" s="5" t="s">
        <v>37</v>
      </c>
      <c r="F22" s="5" t="s">
        <v>14</v>
      </c>
      <c r="G22" s="2" t="s">
        <v>31</v>
      </c>
      <c r="H22" s="2" t="s">
        <v>16</v>
      </c>
      <c r="I22" s="5">
        <v>4</v>
      </c>
      <c r="J22" s="3">
        <v>46894</v>
      </c>
      <c r="K22" s="3">
        <v>187576</v>
      </c>
    </row>
    <row r="23" spans="1:11" x14ac:dyDescent="0.2">
      <c r="A23" s="6" t="s">
        <v>11</v>
      </c>
      <c r="B23" s="6" t="s">
        <v>12</v>
      </c>
      <c r="C23" s="7">
        <v>520000</v>
      </c>
      <c r="D23" s="8">
        <v>45364</v>
      </c>
      <c r="E23" s="9" t="s">
        <v>37</v>
      </c>
      <c r="F23" s="9" t="s">
        <v>14</v>
      </c>
      <c r="G23" s="6" t="s">
        <v>28</v>
      </c>
      <c r="H23" s="6" t="s">
        <v>22</v>
      </c>
      <c r="I23" s="9">
        <v>2</v>
      </c>
      <c r="J23" s="7">
        <v>1260</v>
      </c>
      <c r="K23" s="7">
        <v>2520</v>
      </c>
    </row>
    <row r="24" spans="1:11" x14ac:dyDescent="0.2">
      <c r="A24" s="2" t="s">
        <v>33</v>
      </c>
      <c r="B24" s="2" t="s">
        <v>20</v>
      </c>
      <c r="C24" s="3">
        <v>510000</v>
      </c>
      <c r="D24" s="4">
        <v>45366</v>
      </c>
      <c r="E24" s="5" t="s">
        <v>37</v>
      </c>
      <c r="F24" s="5" t="s">
        <v>14</v>
      </c>
      <c r="G24" s="2" t="s">
        <v>25</v>
      </c>
      <c r="H24" s="2" t="s">
        <v>16</v>
      </c>
      <c r="I24" s="5">
        <v>7</v>
      </c>
      <c r="J24" s="3">
        <v>72317</v>
      </c>
      <c r="K24" s="3">
        <v>506219</v>
      </c>
    </row>
    <row r="25" spans="1:11" x14ac:dyDescent="0.2">
      <c r="A25" s="6" t="s">
        <v>19</v>
      </c>
      <c r="B25" s="6" t="s">
        <v>20</v>
      </c>
      <c r="C25" s="7">
        <v>370000</v>
      </c>
      <c r="D25" s="8">
        <v>45369</v>
      </c>
      <c r="E25" s="9" t="s">
        <v>37</v>
      </c>
      <c r="F25" s="9" t="s">
        <v>14</v>
      </c>
      <c r="G25" s="6" t="s">
        <v>21</v>
      </c>
      <c r="H25" s="6" t="s">
        <v>22</v>
      </c>
      <c r="I25" s="9">
        <v>1</v>
      </c>
      <c r="J25" s="7">
        <v>2744</v>
      </c>
      <c r="K25" s="7">
        <v>2744</v>
      </c>
    </row>
    <row r="26" spans="1:11" x14ac:dyDescent="0.2">
      <c r="A26" s="2" t="s">
        <v>34</v>
      </c>
      <c r="B26" s="2" t="s">
        <v>18</v>
      </c>
      <c r="C26" s="3">
        <v>680000</v>
      </c>
      <c r="D26" s="4">
        <v>45370</v>
      </c>
      <c r="E26" s="5" t="s">
        <v>37</v>
      </c>
      <c r="F26" s="5" t="s">
        <v>14</v>
      </c>
      <c r="G26" s="2" t="s">
        <v>21</v>
      </c>
      <c r="H26" s="2" t="s">
        <v>22</v>
      </c>
      <c r="I26" s="5">
        <v>6</v>
      </c>
      <c r="J26" s="3">
        <v>2889</v>
      </c>
      <c r="K26" s="3">
        <v>17334</v>
      </c>
    </row>
    <row r="27" spans="1:11" x14ac:dyDescent="0.2">
      <c r="A27" s="6" t="s">
        <v>39</v>
      </c>
      <c r="B27" s="6" t="s">
        <v>20</v>
      </c>
      <c r="C27" s="7">
        <v>470000</v>
      </c>
      <c r="D27" s="8">
        <v>45372</v>
      </c>
      <c r="E27" s="9" t="s">
        <v>37</v>
      </c>
      <c r="F27" s="9" t="s">
        <v>14</v>
      </c>
      <c r="G27" s="6" t="s">
        <v>36</v>
      </c>
      <c r="H27" s="6" t="s">
        <v>16</v>
      </c>
      <c r="I27" s="9">
        <v>6</v>
      </c>
      <c r="J27" s="7">
        <v>34712</v>
      </c>
      <c r="K27" s="7">
        <v>208272</v>
      </c>
    </row>
    <row r="28" spans="1:11" x14ac:dyDescent="0.2">
      <c r="A28" s="2" t="s">
        <v>17</v>
      </c>
      <c r="B28" s="2" t="s">
        <v>18</v>
      </c>
      <c r="C28" s="3">
        <v>540000</v>
      </c>
      <c r="D28" s="4">
        <v>45374</v>
      </c>
      <c r="E28" s="5" t="s">
        <v>37</v>
      </c>
      <c r="F28" s="5" t="s">
        <v>14</v>
      </c>
      <c r="G28" s="2" t="s">
        <v>24</v>
      </c>
      <c r="H28" s="2" t="s">
        <v>22</v>
      </c>
      <c r="I28" s="5">
        <v>1</v>
      </c>
      <c r="J28" s="3">
        <v>7611</v>
      </c>
      <c r="K28" s="3">
        <v>7611</v>
      </c>
    </row>
    <row r="29" spans="1:11" x14ac:dyDescent="0.2">
      <c r="A29" s="6" t="s">
        <v>40</v>
      </c>
      <c r="B29" s="6" t="s">
        <v>27</v>
      </c>
      <c r="C29" s="7">
        <v>410000</v>
      </c>
      <c r="D29" s="8">
        <v>45374</v>
      </c>
      <c r="E29" s="9" t="s">
        <v>37</v>
      </c>
      <c r="F29" s="9" t="s">
        <v>14</v>
      </c>
      <c r="G29" s="6" t="s">
        <v>21</v>
      </c>
      <c r="H29" s="6" t="s">
        <v>22</v>
      </c>
      <c r="I29" s="9">
        <v>5</v>
      </c>
      <c r="J29" s="7">
        <v>2968</v>
      </c>
      <c r="K29" s="7">
        <v>14840</v>
      </c>
    </row>
    <row r="30" spans="1:11" x14ac:dyDescent="0.2">
      <c r="A30" s="2" t="s">
        <v>38</v>
      </c>
      <c r="B30" s="2" t="s">
        <v>18</v>
      </c>
      <c r="C30" s="3">
        <v>580000</v>
      </c>
      <c r="D30" s="4">
        <v>45380</v>
      </c>
      <c r="E30" s="5" t="s">
        <v>37</v>
      </c>
      <c r="F30" s="5" t="s">
        <v>14</v>
      </c>
      <c r="G30" s="2" t="s">
        <v>24</v>
      </c>
      <c r="H30" s="2" t="s">
        <v>22</v>
      </c>
      <c r="I30" s="5">
        <v>6</v>
      </c>
      <c r="J30" s="3">
        <v>7337</v>
      </c>
      <c r="K30" s="3">
        <v>44022</v>
      </c>
    </row>
    <row r="31" spans="1:11" x14ac:dyDescent="0.2">
      <c r="A31" s="6" t="s">
        <v>19</v>
      </c>
      <c r="B31" s="6" t="s">
        <v>20</v>
      </c>
      <c r="C31" s="7">
        <v>370000</v>
      </c>
      <c r="D31" s="8">
        <v>45381</v>
      </c>
      <c r="E31" s="9" t="s">
        <v>37</v>
      </c>
      <c r="F31" s="9" t="s">
        <v>14</v>
      </c>
      <c r="G31" s="6" t="s">
        <v>15</v>
      </c>
      <c r="H31" s="6" t="s">
        <v>16</v>
      </c>
      <c r="I31" s="9">
        <v>4</v>
      </c>
      <c r="J31" s="7">
        <v>25397</v>
      </c>
      <c r="K31" s="7">
        <v>101588</v>
      </c>
    </row>
    <row r="32" spans="1:11" x14ac:dyDescent="0.2">
      <c r="A32" s="2" t="s">
        <v>17</v>
      </c>
      <c r="B32" s="2" t="s">
        <v>18</v>
      </c>
      <c r="C32" s="3">
        <v>540000</v>
      </c>
      <c r="D32" s="4">
        <v>45386</v>
      </c>
      <c r="E32" s="5" t="s">
        <v>41</v>
      </c>
      <c r="F32" s="5" t="s">
        <v>42</v>
      </c>
      <c r="G32" s="2" t="s">
        <v>36</v>
      </c>
      <c r="H32" s="2" t="s">
        <v>16</v>
      </c>
      <c r="I32" s="5">
        <v>2</v>
      </c>
      <c r="J32" s="3">
        <v>33534</v>
      </c>
      <c r="K32" s="3">
        <v>67068</v>
      </c>
    </row>
    <row r="33" spans="1:11" x14ac:dyDescent="0.2">
      <c r="A33" s="6" t="s">
        <v>43</v>
      </c>
      <c r="B33" s="6" t="s">
        <v>20</v>
      </c>
      <c r="C33" s="7">
        <v>450000</v>
      </c>
      <c r="D33" s="8">
        <v>45387</v>
      </c>
      <c r="E33" s="9" t="s">
        <v>41</v>
      </c>
      <c r="F33" s="9" t="s">
        <v>42</v>
      </c>
      <c r="G33" s="6" t="s">
        <v>15</v>
      </c>
      <c r="H33" s="6" t="s">
        <v>16</v>
      </c>
      <c r="I33" s="9">
        <v>2</v>
      </c>
      <c r="J33" s="7">
        <v>24994</v>
      </c>
      <c r="K33" s="7">
        <v>49988</v>
      </c>
    </row>
    <row r="34" spans="1:11" x14ac:dyDescent="0.2">
      <c r="A34" s="2" t="s">
        <v>29</v>
      </c>
      <c r="B34" s="2" t="s">
        <v>12</v>
      </c>
      <c r="C34" s="3">
        <v>430000</v>
      </c>
      <c r="D34" s="4">
        <v>45398</v>
      </c>
      <c r="E34" s="5" t="s">
        <v>41</v>
      </c>
      <c r="F34" s="5" t="s">
        <v>42</v>
      </c>
      <c r="G34" s="2" t="s">
        <v>28</v>
      </c>
      <c r="H34" s="2" t="s">
        <v>22</v>
      </c>
      <c r="I34" s="5">
        <v>6</v>
      </c>
      <c r="J34" s="3">
        <v>1324</v>
      </c>
      <c r="K34" s="3">
        <v>7944</v>
      </c>
    </row>
    <row r="35" spans="1:11" x14ac:dyDescent="0.2">
      <c r="A35" s="6" t="s">
        <v>11</v>
      </c>
      <c r="B35" s="6" t="s">
        <v>12</v>
      </c>
      <c r="C35" s="7">
        <v>520000</v>
      </c>
      <c r="D35" s="8">
        <v>45403</v>
      </c>
      <c r="E35" s="9" t="s">
        <v>41</v>
      </c>
      <c r="F35" s="9" t="s">
        <v>42</v>
      </c>
      <c r="G35" s="6" t="s">
        <v>28</v>
      </c>
      <c r="H35" s="6" t="s">
        <v>22</v>
      </c>
      <c r="I35" s="9">
        <v>1</v>
      </c>
      <c r="J35" s="7">
        <v>1330</v>
      </c>
      <c r="K35" s="7">
        <v>1330</v>
      </c>
    </row>
    <row r="36" spans="1:11" x14ac:dyDescent="0.2">
      <c r="A36" s="2" t="s">
        <v>29</v>
      </c>
      <c r="B36" s="2" t="s">
        <v>12</v>
      </c>
      <c r="C36" s="3">
        <v>430000</v>
      </c>
      <c r="D36" s="4">
        <v>45405</v>
      </c>
      <c r="E36" s="5" t="s">
        <v>41</v>
      </c>
      <c r="F36" s="5" t="s">
        <v>42</v>
      </c>
      <c r="G36" s="2" t="s">
        <v>24</v>
      </c>
      <c r="H36" s="2" t="s">
        <v>22</v>
      </c>
      <c r="I36" s="5">
        <v>5</v>
      </c>
      <c r="J36" s="3">
        <v>7405</v>
      </c>
      <c r="K36" s="3">
        <v>37025</v>
      </c>
    </row>
    <row r="37" spans="1:11" x14ac:dyDescent="0.2">
      <c r="A37" s="6" t="s">
        <v>43</v>
      </c>
      <c r="B37" s="6" t="s">
        <v>20</v>
      </c>
      <c r="C37" s="7">
        <v>450000</v>
      </c>
      <c r="D37" s="8">
        <v>45414</v>
      </c>
      <c r="E37" s="9" t="s">
        <v>44</v>
      </c>
      <c r="F37" s="9" t="s">
        <v>42</v>
      </c>
      <c r="G37" s="6" t="s">
        <v>24</v>
      </c>
      <c r="H37" s="6" t="s">
        <v>22</v>
      </c>
      <c r="I37" s="9">
        <v>8</v>
      </c>
      <c r="J37" s="7">
        <v>7294</v>
      </c>
      <c r="K37" s="7">
        <v>58352</v>
      </c>
    </row>
    <row r="38" spans="1:11" x14ac:dyDescent="0.2">
      <c r="A38" s="2" t="s">
        <v>45</v>
      </c>
      <c r="B38" s="2" t="s">
        <v>12</v>
      </c>
      <c r="C38" s="3">
        <v>490000</v>
      </c>
      <c r="D38" s="4">
        <v>45419</v>
      </c>
      <c r="E38" s="5" t="s">
        <v>44</v>
      </c>
      <c r="F38" s="5" t="s">
        <v>42</v>
      </c>
      <c r="G38" s="2" t="s">
        <v>36</v>
      </c>
      <c r="H38" s="2" t="s">
        <v>16</v>
      </c>
      <c r="I38" s="5">
        <v>6</v>
      </c>
      <c r="J38" s="3">
        <v>33203</v>
      </c>
      <c r="K38" s="3">
        <v>199218</v>
      </c>
    </row>
    <row r="39" spans="1:11" x14ac:dyDescent="0.2">
      <c r="A39" s="6" t="s">
        <v>38</v>
      </c>
      <c r="B39" s="6" t="s">
        <v>18</v>
      </c>
      <c r="C39" s="7">
        <v>580000</v>
      </c>
      <c r="D39" s="8">
        <v>45427</v>
      </c>
      <c r="E39" s="9" t="s">
        <v>44</v>
      </c>
      <c r="F39" s="9" t="s">
        <v>42</v>
      </c>
      <c r="G39" s="6" t="s">
        <v>21</v>
      </c>
      <c r="H39" s="6" t="s">
        <v>22</v>
      </c>
      <c r="I39" s="9">
        <v>8</v>
      </c>
      <c r="J39" s="7">
        <v>2859</v>
      </c>
      <c r="K39" s="7">
        <v>22872</v>
      </c>
    </row>
    <row r="40" spans="1:11" x14ac:dyDescent="0.2">
      <c r="A40" s="2" t="s">
        <v>33</v>
      </c>
      <c r="B40" s="2" t="s">
        <v>20</v>
      </c>
      <c r="C40" s="3">
        <v>510000</v>
      </c>
      <c r="D40" s="4">
        <v>45427</v>
      </c>
      <c r="E40" s="5" t="s">
        <v>44</v>
      </c>
      <c r="F40" s="5" t="s">
        <v>42</v>
      </c>
      <c r="G40" s="2" t="s">
        <v>21</v>
      </c>
      <c r="H40" s="2" t="s">
        <v>22</v>
      </c>
      <c r="I40" s="5">
        <v>5</v>
      </c>
      <c r="J40" s="3">
        <v>2899</v>
      </c>
      <c r="K40" s="3">
        <v>14495</v>
      </c>
    </row>
    <row r="41" spans="1:11" x14ac:dyDescent="0.2">
      <c r="A41" s="6" t="s">
        <v>45</v>
      </c>
      <c r="B41" s="6" t="s">
        <v>12</v>
      </c>
      <c r="C41" s="7">
        <v>490000</v>
      </c>
      <c r="D41" s="8">
        <v>45430</v>
      </c>
      <c r="E41" s="9" t="s">
        <v>44</v>
      </c>
      <c r="F41" s="9" t="s">
        <v>42</v>
      </c>
      <c r="G41" s="6" t="s">
        <v>15</v>
      </c>
      <c r="H41" s="6" t="s">
        <v>16</v>
      </c>
      <c r="I41" s="9">
        <v>1</v>
      </c>
      <c r="J41" s="7">
        <v>25525</v>
      </c>
      <c r="K41" s="7">
        <v>25525</v>
      </c>
    </row>
    <row r="42" spans="1:11" x14ac:dyDescent="0.2">
      <c r="A42" s="2" t="s">
        <v>33</v>
      </c>
      <c r="B42" s="2" t="s">
        <v>20</v>
      </c>
      <c r="C42" s="3">
        <v>510000</v>
      </c>
      <c r="D42" s="4">
        <v>45432</v>
      </c>
      <c r="E42" s="5" t="s">
        <v>44</v>
      </c>
      <c r="F42" s="5" t="s">
        <v>42</v>
      </c>
      <c r="G42" s="2" t="s">
        <v>31</v>
      </c>
      <c r="H42" s="2" t="s">
        <v>16</v>
      </c>
      <c r="I42" s="5">
        <v>4</v>
      </c>
      <c r="J42" s="3">
        <v>42753</v>
      </c>
      <c r="K42" s="3">
        <v>171012</v>
      </c>
    </row>
    <row r="43" spans="1:11" x14ac:dyDescent="0.2">
      <c r="A43" s="6" t="s">
        <v>33</v>
      </c>
      <c r="B43" s="6" t="s">
        <v>20</v>
      </c>
      <c r="C43" s="7">
        <v>510000</v>
      </c>
      <c r="D43" s="8">
        <v>45433</v>
      </c>
      <c r="E43" s="9" t="s">
        <v>44</v>
      </c>
      <c r="F43" s="9" t="s">
        <v>42</v>
      </c>
      <c r="G43" s="6" t="s">
        <v>36</v>
      </c>
      <c r="H43" s="6" t="s">
        <v>16</v>
      </c>
      <c r="I43" s="9">
        <v>4</v>
      </c>
      <c r="J43" s="7">
        <v>33303</v>
      </c>
      <c r="K43" s="7">
        <v>133212</v>
      </c>
    </row>
    <row r="44" spans="1:11" x14ac:dyDescent="0.2">
      <c r="A44" s="2" t="s">
        <v>26</v>
      </c>
      <c r="B44" s="2" t="s">
        <v>27</v>
      </c>
      <c r="C44" s="3">
        <v>390000</v>
      </c>
      <c r="D44" s="4">
        <v>45435</v>
      </c>
      <c r="E44" s="5" t="s">
        <v>44</v>
      </c>
      <c r="F44" s="5" t="s">
        <v>42</v>
      </c>
      <c r="G44" s="2" t="s">
        <v>15</v>
      </c>
      <c r="H44" s="2" t="s">
        <v>16</v>
      </c>
      <c r="I44" s="5">
        <v>6</v>
      </c>
      <c r="J44" s="3">
        <v>25655</v>
      </c>
      <c r="K44" s="3">
        <v>153930</v>
      </c>
    </row>
    <row r="45" spans="1:11" x14ac:dyDescent="0.2">
      <c r="A45" s="6" t="s">
        <v>35</v>
      </c>
      <c r="B45" s="6" t="s">
        <v>27</v>
      </c>
      <c r="C45" s="7">
        <v>420000</v>
      </c>
      <c r="D45" s="8">
        <v>45437</v>
      </c>
      <c r="E45" s="9" t="s">
        <v>44</v>
      </c>
      <c r="F45" s="9" t="s">
        <v>42</v>
      </c>
      <c r="G45" s="6" t="s">
        <v>31</v>
      </c>
      <c r="H45" s="6" t="s">
        <v>16</v>
      </c>
      <c r="I45" s="9">
        <v>5</v>
      </c>
      <c r="J45" s="7">
        <v>46232</v>
      </c>
      <c r="K45" s="7">
        <v>231160</v>
      </c>
    </row>
    <row r="46" spans="1:11" x14ac:dyDescent="0.2">
      <c r="A46" s="2" t="s">
        <v>38</v>
      </c>
      <c r="B46" s="2" t="s">
        <v>18</v>
      </c>
      <c r="C46" s="3">
        <v>580000</v>
      </c>
      <c r="D46" s="4">
        <v>45447</v>
      </c>
      <c r="E46" s="5" t="s">
        <v>46</v>
      </c>
      <c r="F46" s="5" t="s">
        <v>42</v>
      </c>
      <c r="G46" s="2" t="s">
        <v>15</v>
      </c>
      <c r="H46" s="2" t="s">
        <v>16</v>
      </c>
      <c r="I46" s="5">
        <v>2</v>
      </c>
      <c r="J46" s="3">
        <v>24557</v>
      </c>
      <c r="K46" s="3">
        <v>49114</v>
      </c>
    </row>
    <row r="47" spans="1:11" x14ac:dyDescent="0.2">
      <c r="A47" s="6" t="s">
        <v>35</v>
      </c>
      <c r="B47" s="6" t="s">
        <v>27</v>
      </c>
      <c r="C47" s="7">
        <v>420000</v>
      </c>
      <c r="D47" s="8">
        <v>45448</v>
      </c>
      <c r="E47" s="9" t="s">
        <v>46</v>
      </c>
      <c r="F47" s="9" t="s">
        <v>42</v>
      </c>
      <c r="G47" s="6" t="s">
        <v>21</v>
      </c>
      <c r="H47" s="6" t="s">
        <v>22</v>
      </c>
      <c r="I47" s="9">
        <v>8</v>
      </c>
      <c r="J47" s="7">
        <v>2969</v>
      </c>
      <c r="K47" s="7">
        <v>23752</v>
      </c>
    </row>
    <row r="48" spans="1:11" x14ac:dyDescent="0.2">
      <c r="A48" s="2" t="s">
        <v>32</v>
      </c>
      <c r="B48" s="2" t="s">
        <v>18</v>
      </c>
      <c r="C48" s="3">
        <v>630000</v>
      </c>
      <c r="D48" s="4">
        <v>45450</v>
      </c>
      <c r="E48" s="5" t="s">
        <v>46</v>
      </c>
      <c r="F48" s="5" t="s">
        <v>42</v>
      </c>
      <c r="G48" s="2" t="s">
        <v>15</v>
      </c>
      <c r="H48" s="2" t="s">
        <v>16</v>
      </c>
      <c r="I48" s="5">
        <v>1</v>
      </c>
      <c r="J48" s="3">
        <v>25006</v>
      </c>
      <c r="K48" s="3">
        <v>25006</v>
      </c>
    </row>
    <row r="49" spans="1:11" x14ac:dyDescent="0.2">
      <c r="A49" s="6" t="s">
        <v>35</v>
      </c>
      <c r="B49" s="6" t="s">
        <v>27</v>
      </c>
      <c r="C49" s="7">
        <v>420000</v>
      </c>
      <c r="D49" s="8">
        <v>45454</v>
      </c>
      <c r="E49" s="9" t="s">
        <v>46</v>
      </c>
      <c r="F49" s="9" t="s">
        <v>42</v>
      </c>
      <c r="G49" s="6" t="s">
        <v>15</v>
      </c>
      <c r="H49" s="6" t="s">
        <v>16</v>
      </c>
      <c r="I49" s="9">
        <v>6</v>
      </c>
      <c r="J49" s="7">
        <v>23948</v>
      </c>
      <c r="K49" s="7">
        <v>143688</v>
      </c>
    </row>
    <row r="50" spans="1:11" x14ac:dyDescent="0.2">
      <c r="A50" s="2" t="s">
        <v>23</v>
      </c>
      <c r="B50" s="2" t="s">
        <v>12</v>
      </c>
      <c r="C50" s="3">
        <v>610000</v>
      </c>
      <c r="D50" s="4">
        <v>45456</v>
      </c>
      <c r="E50" s="5" t="s">
        <v>46</v>
      </c>
      <c r="F50" s="5" t="s">
        <v>42</v>
      </c>
      <c r="G50" s="2" t="s">
        <v>24</v>
      </c>
      <c r="H50" s="2" t="s">
        <v>22</v>
      </c>
      <c r="I50" s="5">
        <v>3</v>
      </c>
      <c r="J50" s="3">
        <v>7597</v>
      </c>
      <c r="K50" s="3">
        <v>22791</v>
      </c>
    </row>
    <row r="51" spans="1:11" x14ac:dyDescent="0.2">
      <c r="A51" s="6" t="s">
        <v>17</v>
      </c>
      <c r="B51" s="6" t="s">
        <v>18</v>
      </c>
      <c r="C51" s="7">
        <v>540000</v>
      </c>
      <c r="D51" s="8">
        <v>45456</v>
      </c>
      <c r="E51" s="9" t="s">
        <v>46</v>
      </c>
      <c r="F51" s="9" t="s">
        <v>42</v>
      </c>
      <c r="G51" s="6" t="s">
        <v>15</v>
      </c>
      <c r="H51" s="6" t="s">
        <v>16</v>
      </c>
      <c r="I51" s="9">
        <v>7</v>
      </c>
      <c r="J51" s="7">
        <v>23720</v>
      </c>
      <c r="K51" s="7">
        <v>166040</v>
      </c>
    </row>
    <row r="52" spans="1:11" x14ac:dyDescent="0.2">
      <c r="A52" s="2" t="s">
        <v>11</v>
      </c>
      <c r="B52" s="2" t="s">
        <v>12</v>
      </c>
      <c r="C52" s="3">
        <v>520000</v>
      </c>
      <c r="D52" s="4">
        <v>45462</v>
      </c>
      <c r="E52" s="5" t="s">
        <v>46</v>
      </c>
      <c r="F52" s="5" t="s">
        <v>42</v>
      </c>
      <c r="G52" s="2" t="s">
        <v>25</v>
      </c>
      <c r="H52" s="2" t="s">
        <v>16</v>
      </c>
      <c r="I52" s="5">
        <v>4</v>
      </c>
      <c r="J52" s="3">
        <v>76511</v>
      </c>
      <c r="K52" s="3">
        <v>306044</v>
      </c>
    </row>
    <row r="53" spans="1:11" x14ac:dyDescent="0.2">
      <c r="A53" s="6" t="s">
        <v>23</v>
      </c>
      <c r="B53" s="6" t="s">
        <v>12</v>
      </c>
      <c r="C53" s="7">
        <v>610000</v>
      </c>
      <c r="D53" s="8">
        <v>45465</v>
      </c>
      <c r="E53" s="9" t="s">
        <v>46</v>
      </c>
      <c r="F53" s="9" t="s">
        <v>42</v>
      </c>
      <c r="G53" s="6" t="s">
        <v>15</v>
      </c>
      <c r="H53" s="6" t="s">
        <v>16</v>
      </c>
      <c r="I53" s="9">
        <v>3</v>
      </c>
      <c r="J53" s="7">
        <v>25830</v>
      </c>
      <c r="K53" s="7">
        <v>77490</v>
      </c>
    </row>
    <row r="54" spans="1:11" x14ac:dyDescent="0.2">
      <c r="A54" s="2" t="s">
        <v>29</v>
      </c>
      <c r="B54" s="2" t="s">
        <v>12</v>
      </c>
      <c r="C54" s="3">
        <v>430000</v>
      </c>
      <c r="D54" s="4">
        <v>45466</v>
      </c>
      <c r="E54" s="5" t="s">
        <v>46</v>
      </c>
      <c r="F54" s="5" t="s">
        <v>42</v>
      </c>
      <c r="G54" s="2" t="s">
        <v>36</v>
      </c>
      <c r="H54" s="2" t="s">
        <v>16</v>
      </c>
      <c r="I54" s="5">
        <v>8</v>
      </c>
      <c r="J54" s="3">
        <v>33513</v>
      </c>
      <c r="K54" s="3">
        <v>268104</v>
      </c>
    </row>
    <row r="55" spans="1:11" x14ac:dyDescent="0.2">
      <c r="A55" s="6" t="s">
        <v>32</v>
      </c>
      <c r="B55" s="6" t="s">
        <v>18</v>
      </c>
      <c r="C55" s="7">
        <v>630000</v>
      </c>
      <c r="D55" s="8">
        <v>45467</v>
      </c>
      <c r="E55" s="9" t="s">
        <v>46</v>
      </c>
      <c r="F55" s="9" t="s">
        <v>42</v>
      </c>
      <c r="G55" s="6" t="s">
        <v>25</v>
      </c>
      <c r="H55" s="6" t="s">
        <v>16</v>
      </c>
      <c r="I55" s="9">
        <v>5</v>
      </c>
      <c r="J55" s="7">
        <v>77098</v>
      </c>
      <c r="K55" s="7">
        <v>385490</v>
      </c>
    </row>
    <row r="56" spans="1:11" x14ac:dyDescent="0.2">
      <c r="A56" s="2" t="s">
        <v>43</v>
      </c>
      <c r="B56" s="2" t="s">
        <v>20</v>
      </c>
      <c r="C56" s="3">
        <v>450000</v>
      </c>
      <c r="D56" s="4">
        <v>45484</v>
      </c>
      <c r="E56" s="5" t="s">
        <v>47</v>
      </c>
      <c r="F56" s="5" t="s">
        <v>48</v>
      </c>
      <c r="G56" s="2" t="s">
        <v>21</v>
      </c>
      <c r="H56" s="2" t="s">
        <v>22</v>
      </c>
      <c r="I56" s="5">
        <v>4</v>
      </c>
      <c r="J56" s="3">
        <v>2984</v>
      </c>
      <c r="K56" s="3">
        <v>11936</v>
      </c>
    </row>
    <row r="57" spans="1:11" x14ac:dyDescent="0.2">
      <c r="A57" s="6" t="s">
        <v>23</v>
      </c>
      <c r="B57" s="6" t="s">
        <v>12</v>
      </c>
      <c r="C57" s="7">
        <v>610000</v>
      </c>
      <c r="D57" s="8">
        <v>45486</v>
      </c>
      <c r="E57" s="9" t="s">
        <v>47</v>
      </c>
      <c r="F57" s="9" t="s">
        <v>48</v>
      </c>
      <c r="G57" s="6" t="s">
        <v>21</v>
      </c>
      <c r="H57" s="6" t="s">
        <v>22</v>
      </c>
      <c r="I57" s="9">
        <v>3</v>
      </c>
      <c r="J57" s="7">
        <v>2786</v>
      </c>
      <c r="K57" s="7">
        <v>8358</v>
      </c>
    </row>
    <row r="58" spans="1:11" x14ac:dyDescent="0.2">
      <c r="A58" s="2" t="s">
        <v>29</v>
      </c>
      <c r="B58" s="2" t="s">
        <v>12</v>
      </c>
      <c r="C58" s="3">
        <v>430000</v>
      </c>
      <c r="D58" s="4">
        <v>45492</v>
      </c>
      <c r="E58" s="5" t="s">
        <v>47</v>
      </c>
      <c r="F58" s="5" t="s">
        <v>48</v>
      </c>
      <c r="G58" s="2" t="s">
        <v>15</v>
      </c>
      <c r="H58" s="2" t="s">
        <v>16</v>
      </c>
      <c r="I58" s="5">
        <v>4</v>
      </c>
      <c r="J58" s="3">
        <v>24358</v>
      </c>
      <c r="K58" s="3">
        <v>97432</v>
      </c>
    </row>
    <row r="59" spans="1:11" x14ac:dyDescent="0.2">
      <c r="A59" s="6" t="s">
        <v>35</v>
      </c>
      <c r="B59" s="6" t="s">
        <v>27</v>
      </c>
      <c r="C59" s="7">
        <v>420000</v>
      </c>
      <c r="D59" s="8">
        <v>45496</v>
      </c>
      <c r="E59" s="9" t="s">
        <v>47</v>
      </c>
      <c r="F59" s="9" t="s">
        <v>48</v>
      </c>
      <c r="G59" s="6" t="s">
        <v>25</v>
      </c>
      <c r="H59" s="6" t="s">
        <v>16</v>
      </c>
      <c r="I59" s="9">
        <v>5</v>
      </c>
      <c r="J59" s="7">
        <v>72649</v>
      </c>
      <c r="K59" s="7">
        <v>363245</v>
      </c>
    </row>
    <row r="60" spans="1:11" x14ac:dyDescent="0.2">
      <c r="A60" s="2" t="s">
        <v>32</v>
      </c>
      <c r="B60" s="2" t="s">
        <v>18</v>
      </c>
      <c r="C60" s="3">
        <v>630000</v>
      </c>
      <c r="D60" s="4">
        <v>45499</v>
      </c>
      <c r="E60" s="5" t="s">
        <v>47</v>
      </c>
      <c r="F60" s="5" t="s">
        <v>48</v>
      </c>
      <c r="G60" s="2" t="s">
        <v>28</v>
      </c>
      <c r="H60" s="2" t="s">
        <v>22</v>
      </c>
      <c r="I60" s="5">
        <v>6</v>
      </c>
      <c r="J60" s="3">
        <v>1384</v>
      </c>
      <c r="K60" s="3">
        <v>8304</v>
      </c>
    </row>
    <row r="61" spans="1:11" x14ac:dyDescent="0.2">
      <c r="A61" s="6" t="s">
        <v>23</v>
      </c>
      <c r="B61" s="6" t="s">
        <v>12</v>
      </c>
      <c r="C61" s="7">
        <v>610000</v>
      </c>
      <c r="D61" s="8">
        <v>45501</v>
      </c>
      <c r="E61" s="9" t="s">
        <v>47</v>
      </c>
      <c r="F61" s="9" t="s">
        <v>48</v>
      </c>
      <c r="G61" s="6" t="s">
        <v>21</v>
      </c>
      <c r="H61" s="6" t="s">
        <v>22</v>
      </c>
      <c r="I61" s="9">
        <v>7</v>
      </c>
      <c r="J61" s="7">
        <v>2786</v>
      </c>
      <c r="K61" s="7">
        <v>19502</v>
      </c>
    </row>
    <row r="62" spans="1:11" x14ac:dyDescent="0.2">
      <c r="A62" s="2" t="s">
        <v>19</v>
      </c>
      <c r="B62" s="2" t="s">
        <v>20</v>
      </c>
      <c r="C62" s="3">
        <v>370000</v>
      </c>
      <c r="D62" s="4">
        <v>45501</v>
      </c>
      <c r="E62" s="5" t="s">
        <v>47</v>
      </c>
      <c r="F62" s="5" t="s">
        <v>48</v>
      </c>
      <c r="G62" s="2" t="s">
        <v>31</v>
      </c>
      <c r="H62" s="2" t="s">
        <v>16</v>
      </c>
      <c r="I62" s="5">
        <v>4</v>
      </c>
      <c r="J62" s="3">
        <v>46261</v>
      </c>
      <c r="K62" s="3">
        <v>185044</v>
      </c>
    </row>
    <row r="63" spans="1:11" x14ac:dyDescent="0.2">
      <c r="A63" s="6" t="s">
        <v>17</v>
      </c>
      <c r="B63" s="6" t="s">
        <v>18</v>
      </c>
      <c r="C63" s="7">
        <v>540000</v>
      </c>
      <c r="D63" s="8">
        <v>45502</v>
      </c>
      <c r="E63" s="9" t="s">
        <v>47</v>
      </c>
      <c r="F63" s="9" t="s">
        <v>48</v>
      </c>
      <c r="G63" s="6" t="s">
        <v>24</v>
      </c>
      <c r="H63" s="6" t="s">
        <v>22</v>
      </c>
      <c r="I63" s="9">
        <v>7</v>
      </c>
      <c r="J63" s="7">
        <v>7812</v>
      </c>
      <c r="K63" s="7">
        <v>54684</v>
      </c>
    </row>
    <row r="64" spans="1:11" x14ac:dyDescent="0.2">
      <c r="A64" s="2" t="s">
        <v>40</v>
      </c>
      <c r="B64" s="2" t="s">
        <v>27</v>
      </c>
      <c r="C64" s="3">
        <v>410000</v>
      </c>
      <c r="D64" s="4">
        <v>45505</v>
      </c>
      <c r="E64" s="5" t="s">
        <v>49</v>
      </c>
      <c r="F64" s="5" t="s">
        <v>48</v>
      </c>
      <c r="G64" s="2" t="s">
        <v>31</v>
      </c>
      <c r="H64" s="2" t="s">
        <v>16</v>
      </c>
      <c r="I64" s="5">
        <v>6</v>
      </c>
      <c r="J64" s="3">
        <v>46820</v>
      </c>
      <c r="K64" s="3">
        <v>280920</v>
      </c>
    </row>
    <row r="65" spans="1:11" x14ac:dyDescent="0.2">
      <c r="A65" s="6" t="s">
        <v>39</v>
      </c>
      <c r="B65" s="6" t="s">
        <v>20</v>
      </c>
      <c r="C65" s="7">
        <v>470000</v>
      </c>
      <c r="D65" s="8">
        <v>45508</v>
      </c>
      <c r="E65" s="9" t="s">
        <v>49</v>
      </c>
      <c r="F65" s="9" t="s">
        <v>48</v>
      </c>
      <c r="G65" s="6" t="s">
        <v>25</v>
      </c>
      <c r="H65" s="6" t="s">
        <v>16</v>
      </c>
      <c r="I65" s="9">
        <v>8</v>
      </c>
      <c r="J65" s="7">
        <v>76064</v>
      </c>
      <c r="K65" s="7">
        <v>608512</v>
      </c>
    </row>
    <row r="66" spans="1:11" x14ac:dyDescent="0.2">
      <c r="A66" s="2" t="s">
        <v>45</v>
      </c>
      <c r="B66" s="2" t="s">
        <v>12</v>
      </c>
      <c r="C66" s="3">
        <v>490000</v>
      </c>
      <c r="D66" s="4">
        <v>45509</v>
      </c>
      <c r="E66" s="5" t="s">
        <v>49</v>
      </c>
      <c r="F66" s="5" t="s">
        <v>48</v>
      </c>
      <c r="G66" s="2" t="s">
        <v>21</v>
      </c>
      <c r="H66" s="2" t="s">
        <v>22</v>
      </c>
      <c r="I66" s="5">
        <v>1</v>
      </c>
      <c r="J66" s="3">
        <v>2750</v>
      </c>
      <c r="K66" s="3">
        <v>2750</v>
      </c>
    </row>
    <row r="67" spans="1:11" x14ac:dyDescent="0.2">
      <c r="A67" s="6" t="s">
        <v>32</v>
      </c>
      <c r="B67" s="6" t="s">
        <v>18</v>
      </c>
      <c r="C67" s="7">
        <v>630000</v>
      </c>
      <c r="D67" s="8">
        <v>45513</v>
      </c>
      <c r="E67" s="9" t="s">
        <v>49</v>
      </c>
      <c r="F67" s="9" t="s">
        <v>48</v>
      </c>
      <c r="G67" s="6" t="s">
        <v>31</v>
      </c>
      <c r="H67" s="6" t="s">
        <v>16</v>
      </c>
      <c r="I67" s="9">
        <v>6</v>
      </c>
      <c r="J67" s="7">
        <v>45662</v>
      </c>
      <c r="K67" s="7">
        <v>273972</v>
      </c>
    </row>
    <row r="68" spans="1:11" x14ac:dyDescent="0.2">
      <c r="A68" s="2" t="s">
        <v>40</v>
      </c>
      <c r="B68" s="2" t="s">
        <v>27</v>
      </c>
      <c r="C68" s="3">
        <v>410000</v>
      </c>
      <c r="D68" s="4">
        <v>45514</v>
      </c>
      <c r="E68" s="5" t="s">
        <v>49</v>
      </c>
      <c r="F68" s="5" t="s">
        <v>48</v>
      </c>
      <c r="G68" s="2" t="s">
        <v>25</v>
      </c>
      <c r="H68" s="2" t="s">
        <v>16</v>
      </c>
      <c r="I68" s="5">
        <v>6</v>
      </c>
      <c r="J68" s="3">
        <v>70884</v>
      </c>
      <c r="K68" s="3">
        <v>425304</v>
      </c>
    </row>
    <row r="69" spans="1:11" x14ac:dyDescent="0.2">
      <c r="A69" s="6" t="s">
        <v>40</v>
      </c>
      <c r="B69" s="6" t="s">
        <v>27</v>
      </c>
      <c r="C69" s="7">
        <v>410000</v>
      </c>
      <c r="D69" s="8">
        <v>45516</v>
      </c>
      <c r="E69" s="9" t="s">
        <v>49</v>
      </c>
      <c r="F69" s="9" t="s">
        <v>48</v>
      </c>
      <c r="G69" s="6" t="s">
        <v>31</v>
      </c>
      <c r="H69" s="6" t="s">
        <v>16</v>
      </c>
      <c r="I69" s="9">
        <v>4</v>
      </c>
      <c r="J69" s="7">
        <v>44153</v>
      </c>
      <c r="K69" s="7">
        <v>176612</v>
      </c>
    </row>
    <row r="70" spans="1:11" x14ac:dyDescent="0.2">
      <c r="A70" s="2" t="s">
        <v>29</v>
      </c>
      <c r="B70" s="2" t="s">
        <v>12</v>
      </c>
      <c r="C70" s="3">
        <v>430000</v>
      </c>
      <c r="D70" s="4">
        <v>45520</v>
      </c>
      <c r="E70" s="5" t="s">
        <v>49</v>
      </c>
      <c r="F70" s="5" t="s">
        <v>48</v>
      </c>
      <c r="G70" s="2" t="s">
        <v>36</v>
      </c>
      <c r="H70" s="2" t="s">
        <v>16</v>
      </c>
      <c r="I70" s="5">
        <v>5</v>
      </c>
      <c r="J70" s="3">
        <v>33961</v>
      </c>
      <c r="K70" s="3">
        <v>169805</v>
      </c>
    </row>
    <row r="71" spans="1:11" x14ac:dyDescent="0.2">
      <c r="A71" s="6" t="s">
        <v>19</v>
      </c>
      <c r="B71" s="6" t="s">
        <v>20</v>
      </c>
      <c r="C71" s="7">
        <v>370000</v>
      </c>
      <c r="D71" s="8">
        <v>45533</v>
      </c>
      <c r="E71" s="9" t="s">
        <v>49</v>
      </c>
      <c r="F71" s="9" t="s">
        <v>48</v>
      </c>
      <c r="G71" s="6" t="s">
        <v>31</v>
      </c>
      <c r="H71" s="6" t="s">
        <v>16</v>
      </c>
      <c r="I71" s="9">
        <v>6</v>
      </c>
      <c r="J71" s="7">
        <v>44503</v>
      </c>
      <c r="K71" s="7">
        <v>267018</v>
      </c>
    </row>
    <row r="72" spans="1:11" x14ac:dyDescent="0.2">
      <c r="A72" s="2" t="s">
        <v>32</v>
      </c>
      <c r="B72" s="2" t="s">
        <v>18</v>
      </c>
      <c r="C72" s="3">
        <v>630000</v>
      </c>
      <c r="D72" s="4">
        <v>45534</v>
      </c>
      <c r="E72" s="5" t="s">
        <v>49</v>
      </c>
      <c r="F72" s="5" t="s">
        <v>48</v>
      </c>
      <c r="G72" s="2" t="s">
        <v>28</v>
      </c>
      <c r="H72" s="2" t="s">
        <v>22</v>
      </c>
      <c r="I72" s="5">
        <v>2</v>
      </c>
      <c r="J72" s="3">
        <v>1299</v>
      </c>
      <c r="K72" s="3">
        <v>2598</v>
      </c>
    </row>
    <row r="73" spans="1:11" x14ac:dyDescent="0.2">
      <c r="A73" s="6" t="s">
        <v>38</v>
      </c>
      <c r="B73" s="6" t="s">
        <v>18</v>
      </c>
      <c r="C73" s="7">
        <v>580000</v>
      </c>
      <c r="D73" s="8">
        <v>45535</v>
      </c>
      <c r="E73" s="9" t="s">
        <v>49</v>
      </c>
      <c r="F73" s="9" t="s">
        <v>48</v>
      </c>
      <c r="G73" s="6" t="s">
        <v>31</v>
      </c>
      <c r="H73" s="6" t="s">
        <v>16</v>
      </c>
      <c r="I73" s="9">
        <v>5</v>
      </c>
      <c r="J73" s="7">
        <v>45692</v>
      </c>
      <c r="K73" s="7">
        <v>228460</v>
      </c>
    </row>
    <row r="74" spans="1:11" x14ac:dyDescent="0.2">
      <c r="A74" s="2" t="s">
        <v>35</v>
      </c>
      <c r="B74" s="2" t="s">
        <v>27</v>
      </c>
      <c r="C74" s="3">
        <v>420000</v>
      </c>
      <c r="D74" s="4">
        <v>45535</v>
      </c>
      <c r="E74" s="5" t="s">
        <v>49</v>
      </c>
      <c r="F74" s="5" t="s">
        <v>48</v>
      </c>
      <c r="G74" s="2" t="s">
        <v>25</v>
      </c>
      <c r="H74" s="2" t="s">
        <v>16</v>
      </c>
      <c r="I74" s="5">
        <v>4</v>
      </c>
      <c r="J74" s="3">
        <v>70654</v>
      </c>
      <c r="K74" s="3">
        <v>282616</v>
      </c>
    </row>
    <row r="75" spans="1:11" x14ac:dyDescent="0.2">
      <c r="A75" s="6" t="s">
        <v>39</v>
      </c>
      <c r="B75" s="6" t="s">
        <v>20</v>
      </c>
      <c r="C75" s="7">
        <v>470000</v>
      </c>
      <c r="D75" s="8">
        <v>45536</v>
      </c>
      <c r="E75" s="9" t="s">
        <v>50</v>
      </c>
      <c r="F75" s="9" t="s">
        <v>48</v>
      </c>
      <c r="G75" s="6" t="s">
        <v>25</v>
      </c>
      <c r="H75" s="6" t="s">
        <v>16</v>
      </c>
      <c r="I75" s="9">
        <v>7</v>
      </c>
      <c r="J75" s="7">
        <v>76251</v>
      </c>
      <c r="K75" s="7">
        <v>533757</v>
      </c>
    </row>
    <row r="76" spans="1:11" x14ac:dyDescent="0.2">
      <c r="A76" s="2" t="s">
        <v>43</v>
      </c>
      <c r="B76" s="2" t="s">
        <v>20</v>
      </c>
      <c r="C76" s="3">
        <v>450000</v>
      </c>
      <c r="D76" s="4">
        <v>45536</v>
      </c>
      <c r="E76" s="5" t="s">
        <v>50</v>
      </c>
      <c r="F76" s="5" t="s">
        <v>48</v>
      </c>
      <c r="G76" s="2" t="s">
        <v>24</v>
      </c>
      <c r="H76" s="2" t="s">
        <v>22</v>
      </c>
      <c r="I76" s="5">
        <v>2</v>
      </c>
      <c r="J76" s="3">
        <v>7899</v>
      </c>
      <c r="K76" s="3">
        <v>15798</v>
      </c>
    </row>
    <row r="77" spans="1:11" x14ac:dyDescent="0.2">
      <c r="A77" s="6" t="s">
        <v>43</v>
      </c>
      <c r="B77" s="6" t="s">
        <v>20</v>
      </c>
      <c r="C77" s="7">
        <v>450000</v>
      </c>
      <c r="D77" s="8">
        <v>45537</v>
      </c>
      <c r="E77" s="9" t="s">
        <v>50</v>
      </c>
      <c r="F77" s="9" t="s">
        <v>48</v>
      </c>
      <c r="G77" s="6" t="s">
        <v>36</v>
      </c>
      <c r="H77" s="6" t="s">
        <v>16</v>
      </c>
      <c r="I77" s="9">
        <v>8</v>
      </c>
      <c r="J77" s="7">
        <v>33805</v>
      </c>
      <c r="K77" s="7">
        <v>270440</v>
      </c>
    </row>
    <row r="78" spans="1:11" x14ac:dyDescent="0.2">
      <c r="A78" s="2" t="s">
        <v>29</v>
      </c>
      <c r="B78" s="2" t="s">
        <v>12</v>
      </c>
      <c r="C78" s="3">
        <v>430000</v>
      </c>
      <c r="D78" s="4">
        <v>45538</v>
      </c>
      <c r="E78" s="5" t="s">
        <v>50</v>
      </c>
      <c r="F78" s="5" t="s">
        <v>48</v>
      </c>
      <c r="G78" s="2" t="s">
        <v>25</v>
      </c>
      <c r="H78" s="2" t="s">
        <v>16</v>
      </c>
      <c r="I78" s="5">
        <v>3</v>
      </c>
      <c r="J78" s="3">
        <v>73587</v>
      </c>
      <c r="K78" s="3">
        <v>220761</v>
      </c>
    </row>
    <row r="79" spans="1:11" x14ac:dyDescent="0.2">
      <c r="A79" s="6" t="s">
        <v>34</v>
      </c>
      <c r="B79" s="6" t="s">
        <v>18</v>
      </c>
      <c r="C79" s="7">
        <v>680000</v>
      </c>
      <c r="D79" s="8">
        <v>45539</v>
      </c>
      <c r="E79" s="9" t="s">
        <v>50</v>
      </c>
      <c r="F79" s="9" t="s">
        <v>48</v>
      </c>
      <c r="G79" s="6" t="s">
        <v>21</v>
      </c>
      <c r="H79" s="6" t="s">
        <v>22</v>
      </c>
      <c r="I79" s="9">
        <v>3</v>
      </c>
      <c r="J79" s="7">
        <v>2795</v>
      </c>
      <c r="K79" s="7">
        <v>8385</v>
      </c>
    </row>
    <row r="80" spans="1:11" x14ac:dyDescent="0.2">
      <c r="A80" s="2" t="s">
        <v>39</v>
      </c>
      <c r="B80" s="2" t="s">
        <v>20</v>
      </c>
      <c r="C80" s="3">
        <v>470000</v>
      </c>
      <c r="D80" s="4">
        <v>45540</v>
      </c>
      <c r="E80" s="5" t="s">
        <v>50</v>
      </c>
      <c r="F80" s="5" t="s">
        <v>48</v>
      </c>
      <c r="G80" s="2" t="s">
        <v>21</v>
      </c>
      <c r="H80" s="2" t="s">
        <v>22</v>
      </c>
      <c r="I80" s="5">
        <v>6</v>
      </c>
      <c r="J80" s="3">
        <v>2736</v>
      </c>
      <c r="K80" s="3">
        <v>16416</v>
      </c>
    </row>
    <row r="81" spans="1:11" x14ac:dyDescent="0.2">
      <c r="A81" s="6" t="s">
        <v>40</v>
      </c>
      <c r="B81" s="6" t="s">
        <v>27</v>
      </c>
      <c r="C81" s="7">
        <v>410000</v>
      </c>
      <c r="D81" s="8">
        <v>45553</v>
      </c>
      <c r="E81" s="9" t="s">
        <v>50</v>
      </c>
      <c r="F81" s="9" t="s">
        <v>48</v>
      </c>
      <c r="G81" s="6" t="s">
        <v>24</v>
      </c>
      <c r="H81" s="6" t="s">
        <v>22</v>
      </c>
      <c r="I81" s="9">
        <v>4</v>
      </c>
      <c r="J81" s="7">
        <v>7602</v>
      </c>
      <c r="K81" s="7">
        <v>30408</v>
      </c>
    </row>
    <row r="82" spans="1:11" x14ac:dyDescent="0.2">
      <c r="A82" s="2" t="s">
        <v>11</v>
      </c>
      <c r="B82" s="2" t="s">
        <v>12</v>
      </c>
      <c r="C82" s="3">
        <v>520000</v>
      </c>
      <c r="D82" s="4">
        <v>45554</v>
      </c>
      <c r="E82" s="5" t="s">
        <v>50</v>
      </c>
      <c r="F82" s="5" t="s">
        <v>48</v>
      </c>
      <c r="G82" s="2" t="s">
        <v>15</v>
      </c>
      <c r="H82" s="2" t="s">
        <v>16</v>
      </c>
      <c r="I82" s="5">
        <v>4</v>
      </c>
      <c r="J82" s="3">
        <v>23587</v>
      </c>
      <c r="K82" s="3">
        <v>94348</v>
      </c>
    </row>
    <row r="83" spans="1:11" x14ac:dyDescent="0.2">
      <c r="A83" s="6" t="s">
        <v>19</v>
      </c>
      <c r="B83" s="6" t="s">
        <v>20</v>
      </c>
      <c r="C83" s="7">
        <v>370000</v>
      </c>
      <c r="D83" s="8">
        <v>45562</v>
      </c>
      <c r="E83" s="9" t="s">
        <v>50</v>
      </c>
      <c r="F83" s="9" t="s">
        <v>48</v>
      </c>
      <c r="G83" s="6" t="s">
        <v>21</v>
      </c>
      <c r="H83" s="6" t="s">
        <v>22</v>
      </c>
      <c r="I83" s="9">
        <v>6</v>
      </c>
      <c r="J83" s="7">
        <v>2986</v>
      </c>
      <c r="K83" s="7">
        <v>17916</v>
      </c>
    </row>
    <row r="84" spans="1:11" x14ac:dyDescent="0.2">
      <c r="A84" s="2" t="s">
        <v>34</v>
      </c>
      <c r="B84" s="2" t="s">
        <v>18</v>
      </c>
      <c r="C84" s="3">
        <v>680000</v>
      </c>
      <c r="D84" s="4">
        <v>45563</v>
      </c>
      <c r="E84" s="5" t="s">
        <v>50</v>
      </c>
      <c r="F84" s="5" t="s">
        <v>48</v>
      </c>
      <c r="G84" s="2" t="s">
        <v>31</v>
      </c>
      <c r="H84" s="2" t="s">
        <v>16</v>
      </c>
      <c r="I84" s="5">
        <v>3</v>
      </c>
      <c r="J84" s="3">
        <v>43857</v>
      </c>
      <c r="K84" s="3">
        <v>131571</v>
      </c>
    </row>
    <row r="85" spans="1:11" x14ac:dyDescent="0.2">
      <c r="A85" s="6" t="s">
        <v>38</v>
      </c>
      <c r="B85" s="6" t="s">
        <v>18</v>
      </c>
      <c r="C85" s="7">
        <v>580000</v>
      </c>
      <c r="D85" s="8">
        <v>45564</v>
      </c>
      <c r="E85" s="9" t="s">
        <v>50</v>
      </c>
      <c r="F85" s="9" t="s">
        <v>48</v>
      </c>
      <c r="G85" s="6" t="s">
        <v>31</v>
      </c>
      <c r="H85" s="6" t="s">
        <v>16</v>
      </c>
      <c r="I85" s="9">
        <v>3</v>
      </c>
      <c r="J85" s="7">
        <v>46323</v>
      </c>
      <c r="K85" s="7">
        <v>138969</v>
      </c>
    </row>
    <row r="86" spans="1:11" x14ac:dyDescent="0.2">
      <c r="A86" s="2" t="s">
        <v>38</v>
      </c>
      <c r="B86" s="2" t="s">
        <v>18</v>
      </c>
      <c r="C86" s="3">
        <v>580000</v>
      </c>
      <c r="D86" s="4">
        <v>45573</v>
      </c>
      <c r="E86" s="5" t="s">
        <v>51</v>
      </c>
      <c r="F86" s="5" t="s">
        <v>52</v>
      </c>
      <c r="G86" s="2" t="s">
        <v>15</v>
      </c>
      <c r="H86" s="2" t="s">
        <v>16</v>
      </c>
      <c r="I86" s="5">
        <v>5</v>
      </c>
      <c r="J86" s="3">
        <v>23645</v>
      </c>
      <c r="K86" s="3">
        <v>118225</v>
      </c>
    </row>
    <row r="87" spans="1:11" x14ac:dyDescent="0.2">
      <c r="A87" s="6" t="s">
        <v>35</v>
      </c>
      <c r="B87" s="6" t="s">
        <v>27</v>
      </c>
      <c r="C87" s="7">
        <v>420000</v>
      </c>
      <c r="D87" s="8">
        <v>45576</v>
      </c>
      <c r="E87" s="9" t="s">
        <v>51</v>
      </c>
      <c r="F87" s="9" t="s">
        <v>52</v>
      </c>
      <c r="G87" s="6" t="s">
        <v>25</v>
      </c>
      <c r="H87" s="6" t="s">
        <v>16</v>
      </c>
      <c r="I87" s="9">
        <v>3</v>
      </c>
      <c r="J87" s="7">
        <v>71876</v>
      </c>
      <c r="K87" s="7">
        <v>215628</v>
      </c>
    </row>
    <row r="88" spans="1:11" x14ac:dyDescent="0.2">
      <c r="A88" s="2" t="s">
        <v>38</v>
      </c>
      <c r="B88" s="2" t="s">
        <v>18</v>
      </c>
      <c r="C88" s="3">
        <v>580000</v>
      </c>
      <c r="D88" s="4">
        <v>45592</v>
      </c>
      <c r="E88" s="5" t="s">
        <v>51</v>
      </c>
      <c r="F88" s="5" t="s">
        <v>52</v>
      </c>
      <c r="G88" s="2" t="s">
        <v>31</v>
      </c>
      <c r="H88" s="2" t="s">
        <v>16</v>
      </c>
      <c r="I88" s="5">
        <v>7</v>
      </c>
      <c r="J88" s="3">
        <v>43283</v>
      </c>
      <c r="K88" s="3">
        <v>302981</v>
      </c>
    </row>
    <row r="89" spans="1:11" x14ac:dyDescent="0.2">
      <c r="A89" s="6" t="s">
        <v>40</v>
      </c>
      <c r="B89" s="6" t="s">
        <v>27</v>
      </c>
      <c r="C89" s="7">
        <v>410000</v>
      </c>
      <c r="D89" s="8">
        <v>45593</v>
      </c>
      <c r="E89" s="9" t="s">
        <v>51</v>
      </c>
      <c r="F89" s="9" t="s">
        <v>52</v>
      </c>
      <c r="G89" s="6" t="s">
        <v>25</v>
      </c>
      <c r="H89" s="6" t="s">
        <v>16</v>
      </c>
      <c r="I89" s="9">
        <v>5</v>
      </c>
      <c r="J89" s="7">
        <v>74942</v>
      </c>
      <c r="K89" s="7">
        <v>374710</v>
      </c>
    </row>
    <row r="90" spans="1:11" x14ac:dyDescent="0.2">
      <c r="A90" s="2" t="s">
        <v>19</v>
      </c>
      <c r="B90" s="2" t="s">
        <v>20</v>
      </c>
      <c r="C90" s="3">
        <v>370000</v>
      </c>
      <c r="D90" s="4">
        <v>45599</v>
      </c>
      <c r="E90" s="5" t="s">
        <v>53</v>
      </c>
      <c r="F90" s="5" t="s">
        <v>52</v>
      </c>
      <c r="G90" s="2" t="s">
        <v>28</v>
      </c>
      <c r="H90" s="2" t="s">
        <v>22</v>
      </c>
      <c r="I90" s="5">
        <v>3</v>
      </c>
      <c r="J90" s="3">
        <v>1274</v>
      </c>
      <c r="K90" s="3">
        <v>3822</v>
      </c>
    </row>
    <row r="91" spans="1:11" x14ac:dyDescent="0.2">
      <c r="A91" s="6" t="s">
        <v>38</v>
      </c>
      <c r="B91" s="6" t="s">
        <v>18</v>
      </c>
      <c r="C91" s="7">
        <v>580000</v>
      </c>
      <c r="D91" s="8">
        <v>45600</v>
      </c>
      <c r="E91" s="9" t="s">
        <v>53</v>
      </c>
      <c r="F91" s="9" t="s">
        <v>52</v>
      </c>
      <c r="G91" s="6" t="s">
        <v>15</v>
      </c>
      <c r="H91" s="6" t="s">
        <v>16</v>
      </c>
      <c r="I91" s="9">
        <v>3</v>
      </c>
      <c r="J91" s="7">
        <v>25650</v>
      </c>
      <c r="K91" s="7">
        <v>76950</v>
      </c>
    </row>
    <row r="92" spans="1:11" x14ac:dyDescent="0.2">
      <c r="A92" s="2" t="s">
        <v>40</v>
      </c>
      <c r="B92" s="2" t="s">
        <v>27</v>
      </c>
      <c r="C92" s="3">
        <v>410000</v>
      </c>
      <c r="D92" s="4">
        <v>45605</v>
      </c>
      <c r="E92" s="5" t="s">
        <v>53</v>
      </c>
      <c r="F92" s="5" t="s">
        <v>52</v>
      </c>
      <c r="G92" s="2" t="s">
        <v>15</v>
      </c>
      <c r="H92" s="2" t="s">
        <v>16</v>
      </c>
      <c r="I92" s="5">
        <v>3</v>
      </c>
      <c r="J92" s="3">
        <v>25512</v>
      </c>
      <c r="K92" s="3">
        <v>76536</v>
      </c>
    </row>
    <row r="93" spans="1:11" x14ac:dyDescent="0.2">
      <c r="A93" s="6" t="s">
        <v>45</v>
      </c>
      <c r="B93" s="6" t="s">
        <v>12</v>
      </c>
      <c r="C93" s="7">
        <v>490000</v>
      </c>
      <c r="D93" s="8">
        <v>45608</v>
      </c>
      <c r="E93" s="9" t="s">
        <v>53</v>
      </c>
      <c r="F93" s="9" t="s">
        <v>52</v>
      </c>
      <c r="G93" s="6" t="s">
        <v>15</v>
      </c>
      <c r="H93" s="6" t="s">
        <v>16</v>
      </c>
      <c r="I93" s="9">
        <v>7</v>
      </c>
      <c r="J93" s="7">
        <v>25101</v>
      </c>
      <c r="K93" s="7">
        <v>175707</v>
      </c>
    </row>
    <row r="94" spans="1:11" x14ac:dyDescent="0.2">
      <c r="A94" s="2" t="s">
        <v>19</v>
      </c>
      <c r="B94" s="2" t="s">
        <v>20</v>
      </c>
      <c r="C94" s="3">
        <v>370000</v>
      </c>
      <c r="D94" s="4">
        <v>45617</v>
      </c>
      <c r="E94" s="5" t="s">
        <v>53</v>
      </c>
      <c r="F94" s="5" t="s">
        <v>52</v>
      </c>
      <c r="G94" s="2" t="s">
        <v>25</v>
      </c>
      <c r="H94" s="2" t="s">
        <v>16</v>
      </c>
      <c r="I94" s="5">
        <v>3</v>
      </c>
      <c r="J94" s="3">
        <v>73695</v>
      </c>
      <c r="K94" s="3">
        <v>221085</v>
      </c>
    </row>
    <row r="95" spans="1:11" x14ac:dyDescent="0.2">
      <c r="A95" s="6" t="s">
        <v>32</v>
      </c>
      <c r="B95" s="6" t="s">
        <v>18</v>
      </c>
      <c r="C95" s="7">
        <v>630000</v>
      </c>
      <c r="D95" s="8">
        <v>45622</v>
      </c>
      <c r="E95" s="9" t="s">
        <v>53</v>
      </c>
      <c r="F95" s="9" t="s">
        <v>52</v>
      </c>
      <c r="G95" s="6" t="s">
        <v>31</v>
      </c>
      <c r="H95" s="6" t="s">
        <v>16</v>
      </c>
      <c r="I95" s="9">
        <v>8</v>
      </c>
      <c r="J95" s="7">
        <v>43455</v>
      </c>
      <c r="K95" s="7">
        <v>347640</v>
      </c>
    </row>
    <row r="96" spans="1:11" x14ac:dyDescent="0.2">
      <c r="A96" s="2" t="s">
        <v>43</v>
      </c>
      <c r="B96" s="2" t="s">
        <v>20</v>
      </c>
      <c r="C96" s="3">
        <v>450000</v>
      </c>
      <c r="D96" s="4">
        <v>45630</v>
      </c>
      <c r="E96" s="5" t="s">
        <v>54</v>
      </c>
      <c r="F96" s="5" t="s">
        <v>52</v>
      </c>
      <c r="G96" s="2" t="s">
        <v>21</v>
      </c>
      <c r="H96" s="2" t="s">
        <v>22</v>
      </c>
      <c r="I96" s="5">
        <v>4</v>
      </c>
      <c r="J96" s="3">
        <v>2723</v>
      </c>
      <c r="K96" s="3">
        <v>10892</v>
      </c>
    </row>
    <row r="97" spans="1:11" x14ac:dyDescent="0.2">
      <c r="A97" s="6" t="s">
        <v>43</v>
      </c>
      <c r="B97" s="6" t="s">
        <v>20</v>
      </c>
      <c r="C97" s="7">
        <v>450000</v>
      </c>
      <c r="D97" s="8">
        <v>45632</v>
      </c>
      <c r="E97" s="9" t="s">
        <v>54</v>
      </c>
      <c r="F97" s="9" t="s">
        <v>52</v>
      </c>
      <c r="G97" s="6" t="s">
        <v>21</v>
      </c>
      <c r="H97" s="6" t="s">
        <v>22</v>
      </c>
      <c r="I97" s="9">
        <v>3</v>
      </c>
      <c r="J97" s="7">
        <v>2708</v>
      </c>
      <c r="K97" s="7">
        <v>8124</v>
      </c>
    </row>
    <row r="98" spans="1:11" x14ac:dyDescent="0.2">
      <c r="A98" s="2" t="s">
        <v>29</v>
      </c>
      <c r="B98" s="2" t="s">
        <v>12</v>
      </c>
      <c r="C98" s="3">
        <v>430000</v>
      </c>
      <c r="D98" s="4">
        <v>45637</v>
      </c>
      <c r="E98" s="5" t="s">
        <v>54</v>
      </c>
      <c r="F98" s="5" t="s">
        <v>52</v>
      </c>
      <c r="G98" s="2" t="s">
        <v>31</v>
      </c>
      <c r="H98" s="2" t="s">
        <v>16</v>
      </c>
      <c r="I98" s="5">
        <v>7</v>
      </c>
      <c r="J98" s="3">
        <v>46741</v>
      </c>
      <c r="K98" s="3">
        <v>327187</v>
      </c>
    </row>
    <row r="99" spans="1:11" x14ac:dyDescent="0.2">
      <c r="A99" s="6" t="s">
        <v>32</v>
      </c>
      <c r="B99" s="6" t="s">
        <v>18</v>
      </c>
      <c r="C99" s="7">
        <v>630000</v>
      </c>
      <c r="D99" s="8">
        <v>45654</v>
      </c>
      <c r="E99" s="9" t="s">
        <v>54</v>
      </c>
      <c r="F99" s="9" t="s">
        <v>52</v>
      </c>
      <c r="G99" s="6" t="s">
        <v>31</v>
      </c>
      <c r="H99" s="6" t="s">
        <v>16</v>
      </c>
      <c r="I99" s="9">
        <v>7</v>
      </c>
      <c r="J99" s="7">
        <v>46171</v>
      </c>
      <c r="K99" s="7">
        <v>323197</v>
      </c>
    </row>
  </sheetData>
  <autoFilter ref="A1:K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Анализ_отделы</vt:lpstr>
      <vt:lpstr>Анализ_товары</vt:lpstr>
      <vt:lpstr>Анализ_динамика</vt:lpstr>
      <vt:lpstr>Рейтинг_менеджеров</vt:lpstr>
      <vt:lpstr>Справка</vt:lpstr>
      <vt:lpstr>Данные</vt:lpstr>
      <vt:lpstr>Анализ_отделы!Заголовки_для_печати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Мария Сазыкина</cp:lastModifiedBy>
  <dcterms:created xsi:type="dcterms:W3CDTF">2026-08-17T11:12:57Z</dcterms:created>
  <dcterms:modified xsi:type="dcterms:W3CDTF">2026-08-17T13:11:55Z</dcterms:modified>
</cp:coreProperties>
</file>